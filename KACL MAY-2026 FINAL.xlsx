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SALARY SHEETS ALL\MAY-26\"/>
    </mc:Choice>
  </mc:AlternateContent>
  <bookViews>
    <workbookView xWindow="480" yWindow="120" windowWidth="18195" windowHeight="11760" activeTab="1"/>
  </bookViews>
  <sheets>
    <sheet name="Sheet1" sheetId="12" r:id="rId1"/>
    <sheet name="Salary Export" sheetId="1" r:id="rId2"/>
    <sheet name="UNPAID" sheetId="10" r:id="rId3"/>
    <sheet name="SALARY" sheetId="3" r:id="rId4"/>
    <sheet name="WAGES" sheetId="4" r:id="rId5"/>
    <sheet name="SUMMERY" sheetId="5" r:id="rId6"/>
    <sheet name="LEFT EMP" sheetId="11" r:id="rId7"/>
  </sheets>
  <definedNames>
    <definedName name="_xlnm._FilterDatabase" localSheetId="3" hidden="1">SALARY!#REF!</definedName>
    <definedName name="_xlnm._FilterDatabase" localSheetId="1" hidden="1">'Salary Export'!$A$2:$T$2</definedName>
    <definedName name="_xlnm._FilterDatabase" localSheetId="4" hidden="1">WAGES!#REF!</definedName>
    <definedName name="_xlnm.Print_Area" localSheetId="1">'Salary Export'!$A$1:$T$183</definedName>
    <definedName name="_xlnm.Print_Titles" localSheetId="3">SALARY!#REF!</definedName>
  </definedNames>
  <calcPr calcId="152511"/>
  <fileRecoveryPr autoRecover="0"/>
</workbook>
</file>

<file path=xl/calcChain.xml><?xml version="1.0" encoding="utf-8"?>
<calcChain xmlns="http://schemas.openxmlformats.org/spreadsheetml/2006/main">
  <c r="Q18" i="12" l="1"/>
  <c r="P18" i="12"/>
  <c r="O18" i="12"/>
  <c r="N18" i="12"/>
  <c r="M18" i="12"/>
  <c r="L18" i="12"/>
  <c r="H18" i="12"/>
  <c r="G18" i="12"/>
  <c r="F18" i="12"/>
  <c r="S17" i="12"/>
  <c r="R17" i="12"/>
  <c r="J17" i="12"/>
  <c r="I17" i="12"/>
  <c r="S16" i="12"/>
  <c r="R16" i="12"/>
  <c r="T16" i="12" s="1"/>
  <c r="J16" i="12"/>
  <c r="I16" i="12"/>
  <c r="S15" i="12"/>
  <c r="R15" i="12"/>
  <c r="T15" i="12" s="1"/>
  <c r="J15" i="12"/>
  <c r="I15" i="12"/>
  <c r="S14" i="12"/>
  <c r="R14" i="12"/>
  <c r="T14" i="12" s="1"/>
  <c r="J14" i="12"/>
  <c r="I14" i="12"/>
  <c r="S13" i="12"/>
  <c r="R13" i="12"/>
  <c r="T13" i="12" s="1"/>
  <c r="J13" i="12"/>
  <c r="I13" i="12"/>
  <c r="S12" i="12"/>
  <c r="R12" i="12"/>
  <c r="J12" i="12"/>
  <c r="I12" i="12"/>
  <c r="S11" i="12"/>
  <c r="R11" i="12"/>
  <c r="J11" i="12"/>
  <c r="I11" i="12"/>
  <c r="S10" i="12"/>
  <c r="R10" i="12"/>
  <c r="J10" i="12"/>
  <c r="I10" i="12"/>
  <c r="S9" i="12"/>
  <c r="R9" i="12"/>
  <c r="J9" i="12"/>
  <c r="I9" i="12"/>
  <c r="S8" i="12"/>
  <c r="R8" i="12"/>
  <c r="J8" i="12"/>
  <c r="I8" i="12"/>
  <c r="S7" i="12"/>
  <c r="R7" i="12"/>
  <c r="T7" i="12" s="1"/>
  <c r="J7" i="12"/>
  <c r="I7" i="12"/>
  <c r="S6" i="12"/>
  <c r="R6" i="12"/>
  <c r="T6" i="12" s="1"/>
  <c r="J6" i="12"/>
  <c r="I6" i="12"/>
  <c r="S5" i="12"/>
  <c r="R5" i="12"/>
  <c r="J5" i="12"/>
  <c r="I5" i="12"/>
  <c r="S4" i="12"/>
  <c r="R4" i="12"/>
  <c r="J4" i="12"/>
  <c r="J18" i="12" s="1"/>
  <c r="I4" i="12"/>
  <c r="S18" i="12"/>
  <c r="I18" i="12"/>
  <c r="T4" i="12" l="1"/>
  <c r="T5" i="12"/>
  <c r="T8" i="12"/>
  <c r="T9" i="12"/>
  <c r="T10" i="12"/>
  <c r="T11" i="12"/>
  <c r="T12" i="12"/>
  <c r="T17" i="12"/>
  <c r="Q10" i="10"/>
  <c r="P10" i="10"/>
  <c r="O10" i="10"/>
  <c r="N10" i="10"/>
  <c r="M10" i="10"/>
  <c r="L10" i="10"/>
  <c r="H10" i="10"/>
  <c r="G10" i="10"/>
  <c r="F10" i="10"/>
  <c r="S9" i="10"/>
  <c r="J9" i="10"/>
  <c r="I9" i="10"/>
  <c r="S8" i="10"/>
  <c r="J8" i="10"/>
  <c r="I8" i="10"/>
  <c r="S7" i="10"/>
  <c r="J7" i="10"/>
  <c r="I7" i="10"/>
  <c r="S6" i="10"/>
  <c r="J6" i="10"/>
  <c r="I6" i="10"/>
  <c r="S5" i="10"/>
  <c r="J5" i="10"/>
  <c r="I5" i="10"/>
  <c r="S4" i="10"/>
  <c r="J4" i="10"/>
  <c r="I4" i="10"/>
  <c r="S3" i="10"/>
  <c r="J3" i="10"/>
  <c r="I3" i="10"/>
  <c r="K18" i="12" l="1"/>
  <c r="K3" i="10"/>
  <c r="R3" i="10" s="1"/>
  <c r="T3" i="10" s="1"/>
  <c r="K4" i="10"/>
  <c r="R4" i="10" s="1"/>
  <c r="T4" i="10" s="1"/>
  <c r="K6" i="10"/>
  <c r="R6" i="10" s="1"/>
  <c r="T6" i="10" s="1"/>
  <c r="K5" i="10"/>
  <c r="R5" i="10" s="1"/>
  <c r="T5" i="10" s="1"/>
  <c r="K7" i="10"/>
  <c r="R7" i="10" s="1"/>
  <c r="T7" i="10" s="1"/>
  <c r="K8" i="10"/>
  <c r="R8" i="10" s="1"/>
  <c r="T8" i="10" s="1"/>
  <c r="K9" i="10"/>
  <c r="R9" i="10" s="1"/>
  <c r="T9" i="10" s="1"/>
  <c r="J10" i="10"/>
  <c r="I10" i="10"/>
  <c r="S10" i="10"/>
  <c r="G183" i="1"/>
  <c r="H183" i="1"/>
  <c r="L183" i="1"/>
  <c r="M183" i="1"/>
  <c r="N183" i="1"/>
  <c r="O183" i="1"/>
  <c r="P183" i="1"/>
  <c r="Q183" i="1"/>
  <c r="R18" i="12" l="1"/>
  <c r="T18" i="12"/>
  <c r="K10" i="10"/>
  <c r="R10" i="10" l="1"/>
  <c r="T10" i="10"/>
  <c r="J13" i="5" s="1"/>
  <c r="Q143" i="4"/>
  <c r="P143" i="4"/>
  <c r="O143" i="4"/>
  <c r="N143" i="4"/>
  <c r="M143" i="4"/>
  <c r="L143" i="4"/>
  <c r="H143" i="4"/>
  <c r="G143" i="4"/>
  <c r="F143" i="4"/>
  <c r="S142" i="4"/>
  <c r="J142" i="4"/>
  <c r="I142" i="4"/>
  <c r="K142" i="4" s="1"/>
  <c r="R142" i="4" s="1"/>
  <c r="S141" i="4"/>
  <c r="J141" i="4"/>
  <c r="I141" i="4"/>
  <c r="S140" i="4"/>
  <c r="J140" i="4"/>
  <c r="I140" i="4"/>
  <c r="S139" i="4"/>
  <c r="J139" i="4"/>
  <c r="I139" i="4"/>
  <c r="S138" i="4"/>
  <c r="J138" i="4"/>
  <c r="I138" i="4"/>
  <c r="S137" i="4"/>
  <c r="J137" i="4"/>
  <c r="I137" i="4"/>
  <c r="S136" i="4"/>
  <c r="J136" i="4"/>
  <c r="I136" i="4"/>
  <c r="S135" i="4"/>
  <c r="J135" i="4"/>
  <c r="I135" i="4"/>
  <c r="S134" i="4"/>
  <c r="J134" i="4"/>
  <c r="I134" i="4"/>
  <c r="S133" i="4"/>
  <c r="J133" i="4"/>
  <c r="I133" i="4"/>
  <c r="S132" i="4"/>
  <c r="J132" i="4"/>
  <c r="I132" i="4"/>
  <c r="S131" i="4"/>
  <c r="J131" i="4"/>
  <c r="I131" i="4"/>
  <c r="S130" i="4"/>
  <c r="J130" i="4"/>
  <c r="I130" i="4"/>
  <c r="S129" i="4"/>
  <c r="J129" i="4"/>
  <c r="I129" i="4"/>
  <c r="S128" i="4"/>
  <c r="J128" i="4"/>
  <c r="I128" i="4"/>
  <c r="S127" i="4"/>
  <c r="J127" i="4"/>
  <c r="I127" i="4"/>
  <c r="S126" i="4"/>
  <c r="J126" i="4"/>
  <c r="I126" i="4"/>
  <c r="S125" i="4"/>
  <c r="J125" i="4"/>
  <c r="I125" i="4"/>
  <c r="S124" i="4"/>
  <c r="J124" i="4"/>
  <c r="I124" i="4"/>
  <c r="S123" i="4"/>
  <c r="J123" i="4"/>
  <c r="I123" i="4"/>
  <c r="S122" i="4"/>
  <c r="J122" i="4"/>
  <c r="I122" i="4"/>
  <c r="S121" i="4"/>
  <c r="J121" i="4"/>
  <c r="I121" i="4"/>
  <c r="S120" i="4"/>
  <c r="J120" i="4"/>
  <c r="I120" i="4"/>
  <c r="S119" i="4"/>
  <c r="J119" i="4"/>
  <c r="I119" i="4"/>
  <c r="S118" i="4"/>
  <c r="J118" i="4"/>
  <c r="I118" i="4"/>
  <c r="S117" i="4"/>
  <c r="J117" i="4"/>
  <c r="I117" i="4"/>
  <c r="S116" i="4"/>
  <c r="J116" i="4"/>
  <c r="I116" i="4"/>
  <c r="S115" i="4"/>
  <c r="J115" i="4"/>
  <c r="I115" i="4"/>
  <c r="S114" i="4"/>
  <c r="J114" i="4"/>
  <c r="I114" i="4"/>
  <c r="S113" i="4"/>
  <c r="J113" i="4"/>
  <c r="I113" i="4"/>
  <c r="S112" i="4"/>
  <c r="J112" i="4"/>
  <c r="I112" i="4"/>
  <c r="S111" i="4"/>
  <c r="J111" i="4"/>
  <c r="I111" i="4"/>
  <c r="S110" i="4"/>
  <c r="J110" i="4"/>
  <c r="I110" i="4"/>
  <c r="S109" i="4"/>
  <c r="J109" i="4"/>
  <c r="I109" i="4"/>
  <c r="S108" i="4"/>
  <c r="J108" i="4"/>
  <c r="I108" i="4"/>
  <c r="S107" i="4"/>
  <c r="J107" i="4"/>
  <c r="I107" i="4"/>
  <c r="S106" i="4"/>
  <c r="J106" i="4"/>
  <c r="I106" i="4"/>
  <c r="S105" i="4"/>
  <c r="J105" i="4"/>
  <c r="I105" i="4"/>
  <c r="S104" i="4"/>
  <c r="J104" i="4"/>
  <c r="I104" i="4"/>
  <c r="S103" i="4"/>
  <c r="J103" i="4"/>
  <c r="I103" i="4"/>
  <c r="S102" i="4"/>
  <c r="J102" i="4"/>
  <c r="I102" i="4"/>
  <c r="S101" i="4"/>
  <c r="J101" i="4"/>
  <c r="I101" i="4"/>
  <c r="S100" i="4"/>
  <c r="J100" i="4"/>
  <c r="I100" i="4"/>
  <c r="S99" i="4"/>
  <c r="J99" i="4"/>
  <c r="I99" i="4"/>
  <c r="S98" i="4"/>
  <c r="J98" i="4"/>
  <c r="I98" i="4"/>
  <c r="S97" i="4"/>
  <c r="J97" i="4"/>
  <c r="I97" i="4"/>
  <c r="S96" i="4"/>
  <c r="J96" i="4"/>
  <c r="I96" i="4"/>
  <c r="S95" i="4"/>
  <c r="J95" i="4"/>
  <c r="I95" i="4"/>
  <c r="S94" i="4"/>
  <c r="J94" i="4"/>
  <c r="I94" i="4"/>
  <c r="S93" i="4"/>
  <c r="J93" i="4"/>
  <c r="I93" i="4"/>
  <c r="S92" i="4"/>
  <c r="J92" i="4"/>
  <c r="I92" i="4"/>
  <c r="S91" i="4"/>
  <c r="J91" i="4"/>
  <c r="I91" i="4"/>
  <c r="S90" i="4"/>
  <c r="J90" i="4"/>
  <c r="I90" i="4"/>
  <c r="S89" i="4"/>
  <c r="J89" i="4"/>
  <c r="I89" i="4"/>
  <c r="S88" i="4"/>
  <c r="J88" i="4"/>
  <c r="I88" i="4"/>
  <c r="K88" i="4" s="1"/>
  <c r="R88" i="4" s="1"/>
  <c r="S87" i="4"/>
  <c r="J87" i="4"/>
  <c r="I87" i="4"/>
  <c r="S86" i="4"/>
  <c r="J86" i="4"/>
  <c r="I86" i="4"/>
  <c r="S85" i="4"/>
  <c r="J85" i="4"/>
  <c r="I85" i="4"/>
  <c r="S84" i="4"/>
  <c r="J84" i="4"/>
  <c r="I84" i="4"/>
  <c r="K84" i="4" s="1"/>
  <c r="R84" i="4" s="1"/>
  <c r="S83" i="4"/>
  <c r="J83" i="4"/>
  <c r="I83" i="4"/>
  <c r="S82" i="4"/>
  <c r="J82" i="4"/>
  <c r="I82" i="4"/>
  <c r="S81" i="4"/>
  <c r="J81" i="4"/>
  <c r="I81" i="4"/>
  <c r="S80" i="4"/>
  <c r="J80" i="4"/>
  <c r="I80" i="4"/>
  <c r="K80" i="4" s="1"/>
  <c r="R80" i="4" s="1"/>
  <c r="S79" i="4"/>
  <c r="J79" i="4"/>
  <c r="I79" i="4"/>
  <c r="S78" i="4"/>
  <c r="J78" i="4"/>
  <c r="I78" i="4"/>
  <c r="S77" i="4"/>
  <c r="J77" i="4"/>
  <c r="I77" i="4"/>
  <c r="S76" i="4"/>
  <c r="J76" i="4"/>
  <c r="I76" i="4"/>
  <c r="S75" i="4"/>
  <c r="J75" i="4"/>
  <c r="I75" i="4"/>
  <c r="S74" i="4"/>
  <c r="J74" i="4"/>
  <c r="I74" i="4"/>
  <c r="S73" i="4"/>
  <c r="J73" i="4"/>
  <c r="I73" i="4"/>
  <c r="S72" i="4"/>
  <c r="J72" i="4"/>
  <c r="I72" i="4"/>
  <c r="K72" i="4" s="1"/>
  <c r="R72" i="4" s="1"/>
  <c r="S71" i="4"/>
  <c r="J71" i="4"/>
  <c r="I71" i="4"/>
  <c r="S70" i="4"/>
  <c r="J70" i="4"/>
  <c r="I70" i="4"/>
  <c r="S69" i="4"/>
  <c r="J69" i="4"/>
  <c r="I69" i="4"/>
  <c r="S68" i="4"/>
  <c r="J68" i="4"/>
  <c r="I68" i="4"/>
  <c r="S67" i="4"/>
  <c r="J67" i="4"/>
  <c r="I67" i="4"/>
  <c r="S66" i="4"/>
  <c r="J66" i="4"/>
  <c r="I66" i="4"/>
  <c r="K66" i="4" s="1"/>
  <c r="R66" i="4" s="1"/>
  <c r="S65" i="4"/>
  <c r="J65" i="4"/>
  <c r="I65" i="4"/>
  <c r="S64" i="4"/>
  <c r="J64" i="4"/>
  <c r="I64" i="4"/>
  <c r="S63" i="4"/>
  <c r="J63" i="4"/>
  <c r="I63" i="4"/>
  <c r="S62" i="4"/>
  <c r="J62" i="4"/>
  <c r="I62" i="4"/>
  <c r="S61" i="4"/>
  <c r="J61" i="4"/>
  <c r="I61" i="4"/>
  <c r="S60" i="4"/>
  <c r="J60" i="4"/>
  <c r="I60" i="4"/>
  <c r="S59" i="4"/>
  <c r="J59" i="4"/>
  <c r="I59" i="4"/>
  <c r="S58" i="4"/>
  <c r="J58" i="4"/>
  <c r="I58" i="4"/>
  <c r="K58" i="4" s="1"/>
  <c r="R58" i="4" s="1"/>
  <c r="S57" i="4"/>
  <c r="J57" i="4"/>
  <c r="I57" i="4"/>
  <c r="S56" i="4"/>
  <c r="J56" i="4"/>
  <c r="I56" i="4"/>
  <c r="S55" i="4"/>
  <c r="J55" i="4"/>
  <c r="I55" i="4"/>
  <c r="S54" i="4"/>
  <c r="J54" i="4"/>
  <c r="I54" i="4"/>
  <c r="S53" i="4"/>
  <c r="J53" i="4"/>
  <c r="I53" i="4"/>
  <c r="S52" i="4"/>
  <c r="J52" i="4"/>
  <c r="I52" i="4"/>
  <c r="S51" i="4"/>
  <c r="J51" i="4"/>
  <c r="I51" i="4"/>
  <c r="S50" i="4"/>
  <c r="R50" i="4"/>
  <c r="J50" i="4"/>
  <c r="I50" i="4"/>
  <c r="S49" i="4"/>
  <c r="R49" i="4"/>
  <c r="J49" i="4"/>
  <c r="I49" i="4"/>
  <c r="S48" i="4"/>
  <c r="R48" i="4"/>
  <c r="J48" i="4"/>
  <c r="I48" i="4"/>
  <c r="S47" i="4"/>
  <c r="R47" i="4"/>
  <c r="J47" i="4"/>
  <c r="I47" i="4"/>
  <c r="S46" i="4"/>
  <c r="R46" i="4"/>
  <c r="J46" i="4"/>
  <c r="I46" i="4"/>
  <c r="S45" i="4"/>
  <c r="R45" i="4"/>
  <c r="J45" i="4"/>
  <c r="I45" i="4"/>
  <c r="S44" i="4"/>
  <c r="R44" i="4"/>
  <c r="J44" i="4"/>
  <c r="I44" i="4"/>
  <c r="S43" i="4"/>
  <c r="R43" i="4"/>
  <c r="J43" i="4"/>
  <c r="I43" i="4"/>
  <c r="S42" i="4"/>
  <c r="R42" i="4"/>
  <c r="J42" i="4"/>
  <c r="I42" i="4"/>
  <c r="S41" i="4"/>
  <c r="R41" i="4"/>
  <c r="J41" i="4"/>
  <c r="I41" i="4"/>
  <c r="S40" i="4"/>
  <c r="R40" i="4"/>
  <c r="J40" i="4"/>
  <c r="I40" i="4"/>
  <c r="S39" i="4"/>
  <c r="R39" i="4"/>
  <c r="J39" i="4"/>
  <c r="I39" i="4"/>
  <c r="S38" i="4"/>
  <c r="R38" i="4"/>
  <c r="J38" i="4"/>
  <c r="I38" i="4"/>
  <c r="S37" i="4"/>
  <c r="R37" i="4"/>
  <c r="J37" i="4"/>
  <c r="I37" i="4"/>
  <c r="S36" i="4"/>
  <c r="J36" i="4"/>
  <c r="I36" i="4"/>
  <c r="K36" i="4" s="1"/>
  <c r="R36" i="4" s="1"/>
  <c r="S35" i="4"/>
  <c r="J35" i="4"/>
  <c r="I35" i="4"/>
  <c r="S34" i="4"/>
  <c r="J34" i="4"/>
  <c r="I34" i="4"/>
  <c r="S33" i="4"/>
  <c r="J33" i="4"/>
  <c r="I33" i="4"/>
  <c r="S32" i="4"/>
  <c r="J32" i="4"/>
  <c r="I32" i="4"/>
  <c r="S31" i="4"/>
  <c r="J31" i="4"/>
  <c r="I31" i="4"/>
  <c r="S30" i="4"/>
  <c r="J30" i="4"/>
  <c r="I30" i="4"/>
  <c r="S29" i="4"/>
  <c r="J29" i="4"/>
  <c r="I29" i="4"/>
  <c r="S28" i="4"/>
  <c r="J28" i="4"/>
  <c r="I28" i="4"/>
  <c r="S27" i="4"/>
  <c r="J27" i="4"/>
  <c r="I27" i="4"/>
  <c r="S26" i="4"/>
  <c r="J26" i="4"/>
  <c r="I26" i="4"/>
  <c r="S25" i="4"/>
  <c r="J25" i="4"/>
  <c r="I25" i="4"/>
  <c r="S24" i="4"/>
  <c r="J24" i="4"/>
  <c r="I24" i="4"/>
  <c r="S23" i="4"/>
  <c r="J23" i="4"/>
  <c r="I23" i="4"/>
  <c r="S22" i="4"/>
  <c r="J22" i="4"/>
  <c r="I22" i="4"/>
  <c r="S21" i="4"/>
  <c r="J21" i="4"/>
  <c r="I21" i="4"/>
  <c r="S20" i="4"/>
  <c r="J20" i="4"/>
  <c r="I20" i="4"/>
  <c r="S19" i="4"/>
  <c r="J19" i="4"/>
  <c r="I19" i="4"/>
  <c r="S18" i="4"/>
  <c r="J18" i="4"/>
  <c r="I18" i="4"/>
  <c r="S17" i="4"/>
  <c r="J17" i="4"/>
  <c r="I17" i="4"/>
  <c r="S16" i="4"/>
  <c r="J16" i="4"/>
  <c r="I16" i="4"/>
  <c r="S15" i="4"/>
  <c r="J15" i="4"/>
  <c r="I15" i="4"/>
  <c r="S14" i="4"/>
  <c r="J14" i="4"/>
  <c r="I14" i="4"/>
  <c r="S13" i="4"/>
  <c r="J13" i="4"/>
  <c r="I13" i="4"/>
  <c r="S12" i="4"/>
  <c r="J12" i="4"/>
  <c r="I12" i="4"/>
  <c r="S11" i="4"/>
  <c r="J11" i="4"/>
  <c r="I11" i="4"/>
  <c r="S10" i="4"/>
  <c r="J10" i="4"/>
  <c r="I10" i="4"/>
  <c r="S9" i="4"/>
  <c r="J9" i="4"/>
  <c r="I9" i="4"/>
  <c r="S8" i="4"/>
  <c r="J8" i="4"/>
  <c r="I8" i="4"/>
  <c r="S7" i="4"/>
  <c r="J7" i="4"/>
  <c r="I7" i="4"/>
  <c r="S6" i="4"/>
  <c r="J6" i="4"/>
  <c r="I6" i="4"/>
  <c r="S5" i="4"/>
  <c r="J5" i="4"/>
  <c r="I5" i="4"/>
  <c r="S4" i="4"/>
  <c r="J4" i="4"/>
  <c r="I4" i="4"/>
  <c r="S3" i="4"/>
  <c r="J3" i="4"/>
  <c r="I3" i="4"/>
  <c r="Q36" i="3"/>
  <c r="P36" i="3"/>
  <c r="O36" i="3"/>
  <c r="N36" i="3"/>
  <c r="M36" i="3"/>
  <c r="L36" i="3"/>
  <c r="H36" i="3"/>
  <c r="G36" i="3"/>
  <c r="F36" i="3"/>
  <c r="S35" i="3"/>
  <c r="J35" i="3"/>
  <c r="I35" i="3"/>
  <c r="S34" i="3"/>
  <c r="J34" i="3"/>
  <c r="I34" i="3"/>
  <c r="K34" i="3" s="1"/>
  <c r="R34" i="3" s="1"/>
  <c r="T34" i="3" s="1"/>
  <c r="S33" i="3"/>
  <c r="J33" i="3"/>
  <c r="I33" i="3"/>
  <c r="S32" i="3"/>
  <c r="J32" i="3"/>
  <c r="I32" i="3"/>
  <c r="K32" i="3" s="1"/>
  <c r="R32" i="3" s="1"/>
  <c r="S31" i="3"/>
  <c r="J31" i="3"/>
  <c r="I31" i="3"/>
  <c r="S30" i="3"/>
  <c r="J30" i="3"/>
  <c r="I30" i="3"/>
  <c r="K30" i="3" s="1"/>
  <c r="R30" i="3" s="1"/>
  <c r="T30" i="3" s="1"/>
  <c r="S29" i="3"/>
  <c r="J29" i="3"/>
  <c r="I29" i="3"/>
  <c r="S28" i="3"/>
  <c r="J28" i="3"/>
  <c r="I28" i="3"/>
  <c r="K28" i="3" s="1"/>
  <c r="R28" i="3" s="1"/>
  <c r="S27" i="3"/>
  <c r="J27" i="3"/>
  <c r="I27" i="3"/>
  <c r="S26" i="3"/>
  <c r="J26" i="3"/>
  <c r="I26" i="3"/>
  <c r="S25" i="3"/>
  <c r="J25" i="3"/>
  <c r="I25" i="3"/>
  <c r="S24" i="3"/>
  <c r="J24" i="3"/>
  <c r="I24" i="3"/>
  <c r="S23" i="3"/>
  <c r="J23" i="3"/>
  <c r="I23" i="3"/>
  <c r="S22" i="3"/>
  <c r="J22" i="3"/>
  <c r="I22" i="3"/>
  <c r="S21" i="3"/>
  <c r="J21" i="3"/>
  <c r="I21" i="3"/>
  <c r="S20" i="3"/>
  <c r="J20" i="3"/>
  <c r="I20" i="3"/>
  <c r="S19" i="3"/>
  <c r="J19" i="3"/>
  <c r="I19" i="3"/>
  <c r="S18" i="3"/>
  <c r="J18" i="3"/>
  <c r="I18" i="3"/>
  <c r="S17" i="3"/>
  <c r="J17" i="3"/>
  <c r="I17" i="3"/>
  <c r="S16" i="3"/>
  <c r="J16" i="3"/>
  <c r="I16" i="3"/>
  <c r="K16" i="3" s="1"/>
  <c r="R16" i="3" s="1"/>
  <c r="T16" i="3" s="1"/>
  <c r="S15" i="3"/>
  <c r="J15" i="3"/>
  <c r="I15" i="3"/>
  <c r="S14" i="3"/>
  <c r="J14" i="3"/>
  <c r="I14" i="3"/>
  <c r="S13" i="3"/>
  <c r="J13" i="3"/>
  <c r="I13" i="3"/>
  <c r="S12" i="3"/>
  <c r="J12" i="3"/>
  <c r="I12" i="3"/>
  <c r="S11" i="3"/>
  <c r="J11" i="3"/>
  <c r="I11" i="3"/>
  <c r="S10" i="3"/>
  <c r="J10" i="3"/>
  <c r="I10" i="3"/>
  <c r="S9" i="3"/>
  <c r="J9" i="3"/>
  <c r="K9" i="3" s="1"/>
  <c r="R9" i="3" s="1"/>
  <c r="T9" i="3" s="1"/>
  <c r="I9" i="3"/>
  <c r="S8" i="3"/>
  <c r="J8" i="3"/>
  <c r="I8" i="3"/>
  <c r="S7" i="3"/>
  <c r="J7" i="3"/>
  <c r="I7" i="3"/>
  <c r="S6" i="3"/>
  <c r="J6" i="3"/>
  <c r="I6" i="3"/>
  <c r="S5" i="3"/>
  <c r="J5" i="3"/>
  <c r="I5" i="3"/>
  <c r="S4" i="3"/>
  <c r="J4" i="3"/>
  <c r="I4" i="3"/>
  <c r="S3" i="3"/>
  <c r="J3" i="3"/>
  <c r="I3" i="3"/>
  <c r="K3" i="3" l="1"/>
  <c r="K7" i="3"/>
  <c r="R7" i="3" s="1"/>
  <c r="T7" i="3" s="1"/>
  <c r="K13" i="3"/>
  <c r="R13" i="3" s="1"/>
  <c r="T13" i="3" s="1"/>
  <c r="K15" i="3"/>
  <c r="R15" i="3" s="1"/>
  <c r="K26" i="3"/>
  <c r="R26" i="3" s="1"/>
  <c r="T26" i="3" s="1"/>
  <c r="K29" i="3"/>
  <c r="R29" i="3" s="1"/>
  <c r="K33" i="3"/>
  <c r="R33" i="3" s="1"/>
  <c r="K135" i="4"/>
  <c r="R135" i="4" s="1"/>
  <c r="T135" i="4" s="1"/>
  <c r="T36" i="4"/>
  <c r="T58" i="4"/>
  <c r="T66" i="4"/>
  <c r="T49" i="4"/>
  <c r="T50" i="4"/>
  <c r="K57" i="4"/>
  <c r="R57" i="4" s="1"/>
  <c r="T57" i="4" s="1"/>
  <c r="K69" i="4"/>
  <c r="R69" i="4" s="1"/>
  <c r="T69" i="4" s="1"/>
  <c r="K73" i="4"/>
  <c r="R73" i="4" s="1"/>
  <c r="T73" i="4" s="1"/>
  <c r="K85" i="4"/>
  <c r="R85" i="4" s="1"/>
  <c r="K89" i="4"/>
  <c r="R89" i="4" s="1"/>
  <c r="T89" i="4" s="1"/>
  <c r="K97" i="4"/>
  <c r="R97" i="4" s="1"/>
  <c r="T97" i="4" s="1"/>
  <c r="K101" i="4"/>
  <c r="R101" i="4" s="1"/>
  <c r="T101" i="4" s="1"/>
  <c r="K105" i="4"/>
  <c r="R105" i="4" s="1"/>
  <c r="K109" i="4"/>
  <c r="R109" i="4" s="1"/>
  <c r="T109" i="4" s="1"/>
  <c r="K121" i="4"/>
  <c r="R121" i="4" s="1"/>
  <c r="T121" i="4" s="1"/>
  <c r="K17" i="4"/>
  <c r="R17" i="4" s="1"/>
  <c r="T17" i="4" s="1"/>
  <c r="K33" i="4"/>
  <c r="R33" i="4" s="1"/>
  <c r="T33" i="4" s="1"/>
  <c r="K90" i="4"/>
  <c r="R90" i="4" s="1"/>
  <c r="T90" i="4" s="1"/>
  <c r="K16" i="4"/>
  <c r="R16" i="4" s="1"/>
  <c r="K23" i="4"/>
  <c r="R23" i="4" s="1"/>
  <c r="T23" i="4" s="1"/>
  <c r="T38" i="4"/>
  <c r="T39" i="4"/>
  <c r="T40" i="4"/>
  <c r="T46" i="4"/>
  <c r="T47" i="4"/>
  <c r="T84" i="4"/>
  <c r="T88" i="4"/>
  <c r="K104" i="4"/>
  <c r="R104" i="4" s="1"/>
  <c r="T104" i="4" s="1"/>
  <c r="K21" i="4"/>
  <c r="R21" i="4" s="1"/>
  <c r="K29" i="4"/>
  <c r="R29" i="4" s="1"/>
  <c r="T29" i="4" s="1"/>
  <c r="K94" i="4"/>
  <c r="R94" i="4" s="1"/>
  <c r="K79" i="4"/>
  <c r="R79" i="4" s="1"/>
  <c r="T79" i="4" s="1"/>
  <c r="K83" i="4"/>
  <c r="R83" i="4" s="1"/>
  <c r="K140" i="4"/>
  <c r="R140" i="4" s="1"/>
  <c r="T140" i="4" s="1"/>
  <c r="T142" i="4"/>
  <c r="K3" i="4"/>
  <c r="R3" i="4" s="1"/>
  <c r="T3" i="4" s="1"/>
  <c r="K123" i="4"/>
  <c r="R123" i="4" s="1"/>
  <c r="T123" i="4" s="1"/>
  <c r="K131" i="4"/>
  <c r="R131" i="4" s="1"/>
  <c r="T131" i="4" s="1"/>
  <c r="K134" i="4"/>
  <c r="R134" i="4" s="1"/>
  <c r="T134" i="4" s="1"/>
  <c r="K137" i="4"/>
  <c r="R137" i="4" s="1"/>
  <c r="T137" i="4" s="1"/>
  <c r="K119" i="4"/>
  <c r="R119" i="4" s="1"/>
  <c r="T119" i="4" s="1"/>
  <c r="K8" i="4"/>
  <c r="R8" i="4" s="1"/>
  <c r="T8" i="4" s="1"/>
  <c r="K51" i="4"/>
  <c r="R51" i="4" s="1"/>
  <c r="T51" i="4" s="1"/>
  <c r="K59" i="4"/>
  <c r="R59" i="4" s="1"/>
  <c r="T59" i="4" s="1"/>
  <c r="K60" i="4"/>
  <c r="R60" i="4" s="1"/>
  <c r="T60" i="4" s="1"/>
  <c r="K70" i="4"/>
  <c r="R70" i="4" s="1"/>
  <c r="T70" i="4" s="1"/>
  <c r="K71" i="4"/>
  <c r="R71" i="4" s="1"/>
  <c r="T71" i="4" s="1"/>
  <c r="K75" i="4"/>
  <c r="R75" i="4" s="1"/>
  <c r="T75" i="4" s="1"/>
  <c r="K78" i="4"/>
  <c r="R78" i="4" s="1"/>
  <c r="T78" i="4" s="1"/>
  <c r="K91" i="4"/>
  <c r="R91" i="4" s="1"/>
  <c r="T91" i="4" s="1"/>
  <c r="K95" i="4"/>
  <c r="R95" i="4" s="1"/>
  <c r="T95" i="4" s="1"/>
  <c r="K99" i="4"/>
  <c r="R99" i="4" s="1"/>
  <c r="T99" i="4" s="1"/>
  <c r="K103" i="4"/>
  <c r="R103" i="4" s="1"/>
  <c r="T103" i="4" s="1"/>
  <c r="K112" i="4"/>
  <c r="R112" i="4" s="1"/>
  <c r="T112" i="4" s="1"/>
  <c r="K125" i="4"/>
  <c r="R125" i="4" s="1"/>
  <c r="T125" i="4" s="1"/>
  <c r="K129" i="4"/>
  <c r="R129" i="4" s="1"/>
  <c r="T129" i="4" s="1"/>
  <c r="K136" i="4"/>
  <c r="R136" i="4" s="1"/>
  <c r="T136" i="4" s="1"/>
  <c r="K139" i="4"/>
  <c r="R139" i="4" s="1"/>
  <c r="T139" i="4" s="1"/>
  <c r="K111" i="4"/>
  <c r="R111" i="4" s="1"/>
  <c r="T111" i="4" s="1"/>
  <c r="K115" i="4"/>
  <c r="R115" i="4" s="1"/>
  <c r="T115" i="4" s="1"/>
  <c r="K13" i="4"/>
  <c r="R13" i="4" s="1"/>
  <c r="T13" i="4" s="1"/>
  <c r="T16" i="4"/>
  <c r="T42" i="4"/>
  <c r="T83" i="4"/>
  <c r="T105" i="4"/>
  <c r="K14" i="4"/>
  <c r="R14" i="4" s="1"/>
  <c r="T14" i="4" s="1"/>
  <c r="T21" i="4"/>
  <c r="K52" i="4"/>
  <c r="R52" i="4" s="1"/>
  <c r="T52" i="4" s="1"/>
  <c r="K67" i="4"/>
  <c r="R67" i="4" s="1"/>
  <c r="T67" i="4" s="1"/>
  <c r="K81" i="4"/>
  <c r="R81" i="4" s="1"/>
  <c r="K86" i="4"/>
  <c r="R86" i="4" s="1"/>
  <c r="T86" i="4" s="1"/>
  <c r="K96" i="4"/>
  <c r="R96" i="4" s="1"/>
  <c r="T96" i="4" s="1"/>
  <c r="K107" i="4"/>
  <c r="R107" i="4" s="1"/>
  <c r="T107" i="4" s="1"/>
  <c r="K127" i="4"/>
  <c r="R127" i="4" s="1"/>
  <c r="T127" i="4" s="1"/>
  <c r="K74" i="4"/>
  <c r="R74" i="4" s="1"/>
  <c r="T74" i="4" s="1"/>
  <c r="K11" i="4"/>
  <c r="R11" i="4" s="1"/>
  <c r="T11" i="4" s="1"/>
  <c r="K15" i="4"/>
  <c r="R15" i="4" s="1"/>
  <c r="T15" i="4" s="1"/>
  <c r="K31" i="4"/>
  <c r="R31" i="4" s="1"/>
  <c r="T31" i="4" s="1"/>
  <c r="T44" i="4"/>
  <c r="K62" i="4"/>
  <c r="R62" i="4" s="1"/>
  <c r="T62" i="4" s="1"/>
  <c r="K65" i="4"/>
  <c r="R65" i="4" s="1"/>
  <c r="T65" i="4" s="1"/>
  <c r="T72" i="4"/>
  <c r="T80" i="4"/>
  <c r="K82" i="4"/>
  <c r="R82" i="4" s="1"/>
  <c r="T82" i="4" s="1"/>
  <c r="K87" i="4"/>
  <c r="R87" i="4" s="1"/>
  <c r="T87" i="4" s="1"/>
  <c r="K113" i="4"/>
  <c r="R113" i="4" s="1"/>
  <c r="T113" i="4" s="1"/>
  <c r="K117" i="4"/>
  <c r="R117" i="4" s="1"/>
  <c r="T117" i="4" s="1"/>
  <c r="K19" i="4"/>
  <c r="R19" i="4" s="1"/>
  <c r="T19" i="4" s="1"/>
  <c r="K54" i="4"/>
  <c r="R54" i="4" s="1"/>
  <c r="T54" i="4" s="1"/>
  <c r="K35" i="4"/>
  <c r="R35" i="4" s="1"/>
  <c r="T35" i="4" s="1"/>
  <c r="K64" i="4"/>
  <c r="R64" i="4" s="1"/>
  <c r="T64" i="4" s="1"/>
  <c r="K126" i="4"/>
  <c r="R126" i="4" s="1"/>
  <c r="T126" i="4" s="1"/>
  <c r="K128" i="4"/>
  <c r="R128" i="4" s="1"/>
  <c r="T128" i="4" s="1"/>
  <c r="K6" i="4"/>
  <c r="R6" i="4" s="1"/>
  <c r="T6" i="4" s="1"/>
  <c r="K27" i="4"/>
  <c r="R27" i="4" s="1"/>
  <c r="T27" i="4" s="1"/>
  <c r="T43" i="4"/>
  <c r="K4" i="4"/>
  <c r="R4" i="4" s="1"/>
  <c r="T4" i="4" s="1"/>
  <c r="K7" i="4"/>
  <c r="R7" i="4" s="1"/>
  <c r="T7" i="4" s="1"/>
  <c r="K9" i="4"/>
  <c r="R9" i="4" s="1"/>
  <c r="T9" i="4" s="1"/>
  <c r="K25" i="4"/>
  <c r="R25" i="4" s="1"/>
  <c r="T25" i="4" s="1"/>
  <c r="K28" i="4"/>
  <c r="R28" i="4" s="1"/>
  <c r="T28" i="4" s="1"/>
  <c r="K56" i="4"/>
  <c r="R56" i="4" s="1"/>
  <c r="T56" i="4" s="1"/>
  <c r="K76" i="4"/>
  <c r="R76" i="4" s="1"/>
  <c r="T76" i="4" s="1"/>
  <c r="K77" i="4"/>
  <c r="R77" i="4" s="1"/>
  <c r="T77" i="4" s="1"/>
  <c r="K92" i="4"/>
  <c r="R92" i="4" s="1"/>
  <c r="T92" i="4" s="1"/>
  <c r="K93" i="4"/>
  <c r="R93" i="4" s="1"/>
  <c r="T93" i="4" s="1"/>
  <c r="K118" i="4"/>
  <c r="R118" i="4" s="1"/>
  <c r="T118" i="4" s="1"/>
  <c r="K120" i="4"/>
  <c r="R120" i="4" s="1"/>
  <c r="T120" i="4" s="1"/>
  <c r="S143" i="4"/>
  <c r="K22" i="4"/>
  <c r="R22" i="4" s="1"/>
  <c r="T22" i="4" s="1"/>
  <c r="T48" i="4"/>
  <c r="T81" i="4"/>
  <c r="I143" i="4"/>
  <c r="K30" i="4"/>
  <c r="R30" i="4" s="1"/>
  <c r="T30" i="4" s="1"/>
  <c r="T37" i="4"/>
  <c r="T85" i="4"/>
  <c r="K10" i="4"/>
  <c r="R10" i="4" s="1"/>
  <c r="T10" i="4" s="1"/>
  <c r="K18" i="4"/>
  <c r="R18" i="4" s="1"/>
  <c r="T18" i="4" s="1"/>
  <c r="K24" i="4"/>
  <c r="R24" i="4" s="1"/>
  <c r="T24" i="4" s="1"/>
  <c r="K32" i="4"/>
  <c r="R32" i="4" s="1"/>
  <c r="T32" i="4" s="1"/>
  <c r="T41" i="4"/>
  <c r="K53" i="4"/>
  <c r="R53" i="4" s="1"/>
  <c r="T53" i="4" s="1"/>
  <c r="K61" i="4"/>
  <c r="R61" i="4" s="1"/>
  <c r="T61" i="4" s="1"/>
  <c r="K68" i="4"/>
  <c r="R68" i="4" s="1"/>
  <c r="T68" i="4" s="1"/>
  <c r="T94" i="4"/>
  <c r="K110" i="4"/>
  <c r="R110" i="4" s="1"/>
  <c r="T110" i="4" s="1"/>
  <c r="J143" i="4"/>
  <c r="K5" i="4"/>
  <c r="R5" i="4" s="1"/>
  <c r="T5" i="4" s="1"/>
  <c r="K12" i="4"/>
  <c r="R12" i="4" s="1"/>
  <c r="T12" i="4" s="1"/>
  <c r="K20" i="4"/>
  <c r="R20" i="4" s="1"/>
  <c r="T20" i="4" s="1"/>
  <c r="K26" i="4"/>
  <c r="R26" i="4" s="1"/>
  <c r="T26" i="4" s="1"/>
  <c r="K34" i="4"/>
  <c r="R34" i="4" s="1"/>
  <c r="T34" i="4" s="1"/>
  <c r="T45" i="4"/>
  <c r="K55" i="4"/>
  <c r="R55" i="4" s="1"/>
  <c r="T55" i="4" s="1"/>
  <c r="K63" i="4"/>
  <c r="R63" i="4" s="1"/>
  <c r="T63" i="4" s="1"/>
  <c r="K102" i="4"/>
  <c r="R102" i="4" s="1"/>
  <c r="T102" i="4" s="1"/>
  <c r="K133" i="4"/>
  <c r="R133" i="4" s="1"/>
  <c r="T133" i="4" s="1"/>
  <c r="K98" i="4"/>
  <c r="R98" i="4" s="1"/>
  <c r="T98" i="4" s="1"/>
  <c r="K106" i="4"/>
  <c r="R106" i="4" s="1"/>
  <c r="T106" i="4" s="1"/>
  <c r="K114" i="4"/>
  <c r="R114" i="4" s="1"/>
  <c r="T114" i="4" s="1"/>
  <c r="K122" i="4"/>
  <c r="R122" i="4" s="1"/>
  <c r="T122" i="4" s="1"/>
  <c r="K130" i="4"/>
  <c r="R130" i="4" s="1"/>
  <c r="T130" i="4" s="1"/>
  <c r="K141" i="4"/>
  <c r="R141" i="4" s="1"/>
  <c r="T141" i="4" s="1"/>
  <c r="K100" i="4"/>
  <c r="R100" i="4" s="1"/>
  <c r="T100" i="4" s="1"/>
  <c r="K108" i="4"/>
  <c r="R108" i="4" s="1"/>
  <c r="T108" i="4" s="1"/>
  <c r="K116" i="4"/>
  <c r="R116" i="4" s="1"/>
  <c r="T116" i="4" s="1"/>
  <c r="K124" i="4"/>
  <c r="R124" i="4" s="1"/>
  <c r="T124" i="4" s="1"/>
  <c r="K132" i="4"/>
  <c r="R132" i="4" s="1"/>
  <c r="T132" i="4" s="1"/>
  <c r="K138" i="4"/>
  <c r="R138" i="4" s="1"/>
  <c r="T138" i="4" s="1"/>
  <c r="T15" i="3"/>
  <c r="T28" i="3"/>
  <c r="K5" i="3"/>
  <c r="R5" i="3" s="1"/>
  <c r="T5" i="3" s="1"/>
  <c r="K11" i="3"/>
  <c r="R11" i="3" s="1"/>
  <c r="T11" i="3" s="1"/>
  <c r="K14" i="3"/>
  <c r="R14" i="3" s="1"/>
  <c r="T14" i="3" s="1"/>
  <c r="K19" i="3"/>
  <c r="R19" i="3" s="1"/>
  <c r="T19" i="3" s="1"/>
  <c r="K22" i="3"/>
  <c r="R22" i="3" s="1"/>
  <c r="T22" i="3" s="1"/>
  <c r="K17" i="3"/>
  <c r="R17" i="3" s="1"/>
  <c r="T17" i="3" s="1"/>
  <c r="T32" i="3"/>
  <c r="K8" i="3"/>
  <c r="R8" i="3" s="1"/>
  <c r="T8" i="3" s="1"/>
  <c r="J36" i="3"/>
  <c r="K23" i="3"/>
  <c r="R23" i="3" s="1"/>
  <c r="T23" i="3" s="1"/>
  <c r="K6" i="3"/>
  <c r="R6" i="3" s="1"/>
  <c r="T6" i="3" s="1"/>
  <c r="K21" i="3"/>
  <c r="R21" i="3" s="1"/>
  <c r="T21" i="3" s="1"/>
  <c r="K25" i="3"/>
  <c r="R25" i="3" s="1"/>
  <c r="T25" i="3" s="1"/>
  <c r="K4" i="3"/>
  <c r="R4" i="3" s="1"/>
  <c r="T4" i="3" s="1"/>
  <c r="R3" i="3"/>
  <c r="I36" i="3"/>
  <c r="S36" i="3"/>
  <c r="K12" i="3"/>
  <c r="R12" i="3" s="1"/>
  <c r="T12" i="3" s="1"/>
  <c r="K20" i="3"/>
  <c r="R20" i="3" s="1"/>
  <c r="T20" i="3" s="1"/>
  <c r="T29" i="3"/>
  <c r="T33" i="3"/>
  <c r="K10" i="3"/>
  <c r="R10" i="3" s="1"/>
  <c r="T10" i="3" s="1"/>
  <c r="K18" i="3"/>
  <c r="R18" i="3" s="1"/>
  <c r="T18" i="3" s="1"/>
  <c r="K24" i="3"/>
  <c r="R24" i="3" s="1"/>
  <c r="T24" i="3" s="1"/>
  <c r="K27" i="3"/>
  <c r="R27" i="3" s="1"/>
  <c r="T27" i="3" s="1"/>
  <c r="K35" i="3"/>
  <c r="R35" i="3" s="1"/>
  <c r="T35" i="3" s="1"/>
  <c r="K31" i="3"/>
  <c r="R31" i="3" s="1"/>
  <c r="T31" i="3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K179" i="1" l="1"/>
  <c r="K175" i="1"/>
  <c r="K171" i="1"/>
  <c r="K167" i="1"/>
  <c r="K163" i="1"/>
  <c r="K159" i="1"/>
  <c r="K155" i="1"/>
  <c r="K151" i="1"/>
  <c r="K147" i="1"/>
  <c r="K143" i="1"/>
  <c r="K139" i="1"/>
  <c r="K135" i="1"/>
  <c r="K131" i="1"/>
  <c r="K127" i="1"/>
  <c r="K123" i="1"/>
  <c r="K119" i="1"/>
  <c r="K115" i="1"/>
  <c r="K111" i="1"/>
  <c r="K107" i="1"/>
  <c r="K103" i="1"/>
  <c r="K99" i="1"/>
  <c r="K95" i="1"/>
  <c r="K91" i="1"/>
  <c r="K87" i="1"/>
  <c r="K83" i="1"/>
  <c r="K79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K182" i="1"/>
  <c r="K178" i="1"/>
  <c r="K174" i="1"/>
  <c r="K170" i="1"/>
  <c r="K166" i="1"/>
  <c r="K162" i="1"/>
  <c r="K158" i="1"/>
  <c r="K154" i="1"/>
  <c r="K150" i="1"/>
  <c r="K146" i="1"/>
  <c r="K142" i="1"/>
  <c r="K138" i="1"/>
  <c r="K134" i="1"/>
  <c r="K130" i="1"/>
  <c r="K126" i="1"/>
  <c r="K122" i="1"/>
  <c r="K118" i="1"/>
  <c r="K114" i="1"/>
  <c r="K110" i="1"/>
  <c r="K106" i="1"/>
  <c r="K102" i="1"/>
  <c r="K98" i="1"/>
  <c r="K94" i="1"/>
  <c r="K90" i="1"/>
  <c r="K86" i="1"/>
  <c r="K82" i="1"/>
  <c r="K78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K143" i="4"/>
  <c r="R36" i="3"/>
  <c r="T3" i="3"/>
  <c r="T36" i="3" s="1"/>
  <c r="J15" i="5" s="1"/>
  <c r="K36" i="3"/>
  <c r="K181" i="1"/>
  <c r="K173" i="1"/>
  <c r="K169" i="1"/>
  <c r="K161" i="1"/>
  <c r="K157" i="1"/>
  <c r="K145" i="1"/>
  <c r="K137" i="1"/>
  <c r="K129" i="1"/>
  <c r="K121" i="1"/>
  <c r="K117" i="1"/>
  <c r="K113" i="1"/>
  <c r="K105" i="1"/>
  <c r="K97" i="1"/>
  <c r="K89" i="1"/>
  <c r="K81" i="1"/>
  <c r="K61" i="1"/>
  <c r="K53" i="1"/>
  <c r="K41" i="1"/>
  <c r="K33" i="1"/>
  <c r="K25" i="1"/>
  <c r="K9" i="1"/>
  <c r="K177" i="1"/>
  <c r="K165" i="1"/>
  <c r="K153" i="1"/>
  <c r="K149" i="1"/>
  <c r="K141" i="1"/>
  <c r="K133" i="1"/>
  <c r="K125" i="1"/>
  <c r="K109" i="1"/>
  <c r="K101" i="1"/>
  <c r="K93" i="1"/>
  <c r="K85" i="1"/>
  <c r="K77" i="1"/>
  <c r="K57" i="1"/>
  <c r="K49" i="1"/>
  <c r="K45" i="1"/>
  <c r="K37" i="1"/>
  <c r="K29" i="1"/>
  <c r="K21" i="1"/>
  <c r="K17" i="1"/>
  <c r="K13" i="1"/>
  <c r="K5" i="1"/>
  <c r="K180" i="1"/>
  <c r="K176" i="1"/>
  <c r="K172" i="1"/>
  <c r="K168" i="1"/>
  <c r="K164" i="1"/>
  <c r="K160" i="1"/>
  <c r="K156" i="1"/>
  <c r="K152" i="1"/>
  <c r="K148" i="1"/>
  <c r="K144" i="1"/>
  <c r="K140" i="1"/>
  <c r="K136" i="1"/>
  <c r="K132" i="1"/>
  <c r="K128" i="1"/>
  <c r="K124" i="1"/>
  <c r="K120" i="1"/>
  <c r="K116" i="1"/>
  <c r="K112" i="1"/>
  <c r="K108" i="1"/>
  <c r="K104" i="1"/>
  <c r="K100" i="1"/>
  <c r="K96" i="1"/>
  <c r="K92" i="1"/>
  <c r="K88" i="1"/>
  <c r="K84" i="1"/>
  <c r="K80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Q30" i="11"/>
  <c r="P30" i="11"/>
  <c r="O30" i="11"/>
  <c r="N30" i="11"/>
  <c r="M30" i="11"/>
  <c r="L30" i="11"/>
  <c r="H30" i="11"/>
  <c r="G30" i="11"/>
  <c r="F30" i="11"/>
  <c r="S29" i="11"/>
  <c r="J29" i="11"/>
  <c r="I29" i="11"/>
  <c r="S28" i="11"/>
  <c r="J28" i="11"/>
  <c r="I28" i="11"/>
  <c r="S27" i="11"/>
  <c r="J27" i="11"/>
  <c r="I27" i="11"/>
  <c r="S26" i="11"/>
  <c r="J26" i="11"/>
  <c r="I26" i="11"/>
  <c r="S25" i="11"/>
  <c r="J25" i="11"/>
  <c r="I25" i="11"/>
  <c r="S24" i="11"/>
  <c r="J24" i="11"/>
  <c r="I24" i="11"/>
  <c r="S23" i="11"/>
  <c r="J23" i="11"/>
  <c r="I23" i="11"/>
  <c r="S22" i="11"/>
  <c r="J22" i="11"/>
  <c r="I22" i="11"/>
  <c r="S21" i="11"/>
  <c r="J21" i="11"/>
  <c r="I21" i="11"/>
  <c r="S20" i="11"/>
  <c r="J20" i="11"/>
  <c r="I20" i="11"/>
  <c r="S19" i="11"/>
  <c r="J19" i="11"/>
  <c r="I19" i="11"/>
  <c r="S18" i="11"/>
  <c r="J18" i="11"/>
  <c r="I18" i="11"/>
  <c r="S17" i="11"/>
  <c r="J17" i="11"/>
  <c r="I17" i="11"/>
  <c r="S16" i="11"/>
  <c r="J16" i="11"/>
  <c r="I16" i="11"/>
  <c r="S15" i="11"/>
  <c r="J15" i="11"/>
  <c r="I15" i="11"/>
  <c r="S14" i="11"/>
  <c r="J14" i="11"/>
  <c r="I14" i="11"/>
  <c r="S13" i="11"/>
  <c r="J13" i="11"/>
  <c r="I13" i="11"/>
  <c r="S12" i="11"/>
  <c r="J12" i="11"/>
  <c r="I12" i="11"/>
  <c r="S11" i="11"/>
  <c r="J11" i="11"/>
  <c r="I11" i="11"/>
  <c r="S10" i="11"/>
  <c r="J10" i="11"/>
  <c r="I10" i="11"/>
  <c r="S9" i="11"/>
  <c r="J9" i="11"/>
  <c r="I9" i="11"/>
  <c r="S8" i="11"/>
  <c r="J8" i="11"/>
  <c r="I8" i="11"/>
  <c r="S7" i="11"/>
  <c r="J7" i="11"/>
  <c r="I7" i="11"/>
  <c r="S6" i="11"/>
  <c r="J6" i="11"/>
  <c r="I6" i="11"/>
  <c r="S5" i="11"/>
  <c r="J5" i="11"/>
  <c r="I5" i="11"/>
  <c r="S4" i="11"/>
  <c r="J4" i="11"/>
  <c r="I4" i="11"/>
  <c r="S3" i="11"/>
  <c r="J3" i="11"/>
  <c r="I3" i="11"/>
  <c r="R143" i="4" l="1"/>
  <c r="T143" i="4"/>
  <c r="J14" i="5" s="1"/>
  <c r="K18" i="11"/>
  <c r="R18" i="11" s="1"/>
  <c r="T18" i="11" s="1"/>
  <c r="K20" i="11"/>
  <c r="R20" i="11" s="1"/>
  <c r="T20" i="11" s="1"/>
  <c r="K21" i="11"/>
  <c r="R21" i="11" s="1"/>
  <c r="T21" i="11" s="1"/>
  <c r="K13" i="11"/>
  <c r="R13" i="11" s="1"/>
  <c r="T13" i="11" s="1"/>
  <c r="K16" i="11"/>
  <c r="R16" i="11" s="1"/>
  <c r="T16" i="11" s="1"/>
  <c r="K22" i="11"/>
  <c r="R22" i="11" s="1"/>
  <c r="T22" i="11" s="1"/>
  <c r="K23" i="11"/>
  <c r="R23" i="11" s="1"/>
  <c r="T23" i="11" s="1"/>
  <c r="K10" i="11"/>
  <c r="R10" i="11" s="1"/>
  <c r="T10" i="11" s="1"/>
  <c r="K24" i="11"/>
  <c r="R24" i="11" s="1"/>
  <c r="T24" i="11" s="1"/>
  <c r="K29" i="11"/>
  <c r="R29" i="11" s="1"/>
  <c r="T29" i="11" s="1"/>
  <c r="K8" i="11"/>
  <c r="R8" i="11" s="1"/>
  <c r="T8" i="11" s="1"/>
  <c r="K5" i="11"/>
  <c r="R5" i="11" s="1"/>
  <c r="T5" i="11" s="1"/>
  <c r="K14" i="11"/>
  <c r="R14" i="11" s="1"/>
  <c r="T14" i="11" s="1"/>
  <c r="K6" i="11"/>
  <c r="R6" i="11" s="1"/>
  <c r="T6" i="11" s="1"/>
  <c r="K25" i="11"/>
  <c r="R25" i="11" s="1"/>
  <c r="T25" i="11" s="1"/>
  <c r="K28" i="11"/>
  <c r="R28" i="11" s="1"/>
  <c r="T28" i="11" s="1"/>
  <c r="I30" i="11"/>
  <c r="K9" i="11"/>
  <c r="R9" i="11" s="1"/>
  <c r="T9" i="11" s="1"/>
  <c r="K27" i="11"/>
  <c r="R27" i="11" s="1"/>
  <c r="T27" i="11" s="1"/>
  <c r="K4" i="11"/>
  <c r="R4" i="11" s="1"/>
  <c r="T4" i="11" s="1"/>
  <c r="K19" i="11"/>
  <c r="R19" i="11" s="1"/>
  <c r="T19" i="11" s="1"/>
  <c r="K7" i="11"/>
  <c r="R7" i="11" s="1"/>
  <c r="T7" i="11" s="1"/>
  <c r="K15" i="11"/>
  <c r="R15" i="11" s="1"/>
  <c r="T15" i="11" s="1"/>
  <c r="K17" i="11"/>
  <c r="R17" i="11" s="1"/>
  <c r="T17" i="11" s="1"/>
  <c r="K26" i="11"/>
  <c r="R26" i="11" s="1"/>
  <c r="T26" i="11" s="1"/>
  <c r="K12" i="11"/>
  <c r="R12" i="11" s="1"/>
  <c r="T12" i="11" s="1"/>
  <c r="J30" i="11"/>
  <c r="K3" i="11"/>
  <c r="R3" i="11" s="1"/>
  <c r="T3" i="11" s="1"/>
  <c r="K11" i="11"/>
  <c r="R11" i="11" s="1"/>
  <c r="T11" i="11" s="1"/>
  <c r="S30" i="11"/>
  <c r="K30" i="11" l="1"/>
  <c r="R30" i="11" l="1"/>
  <c r="T30" i="11"/>
  <c r="S4" i="1"/>
  <c r="S5" i="1"/>
  <c r="S6" i="1"/>
  <c r="S151" i="1"/>
  <c r="S86" i="1"/>
  <c r="S59" i="1"/>
  <c r="S7" i="1"/>
  <c r="S8" i="1"/>
  <c r="S77" i="1"/>
  <c r="S108" i="1"/>
  <c r="S60" i="1"/>
  <c r="S169" i="1"/>
  <c r="S109" i="1"/>
  <c r="S146" i="1"/>
  <c r="S58" i="1"/>
  <c r="S25" i="1"/>
  <c r="S152" i="1"/>
  <c r="S87" i="1"/>
  <c r="S153" i="1"/>
  <c r="S46" i="1"/>
  <c r="S9" i="1"/>
  <c r="S90" i="1"/>
  <c r="S110" i="1"/>
  <c r="S55" i="1"/>
  <c r="S47" i="1"/>
  <c r="S63" i="1"/>
  <c r="S111" i="1"/>
  <c r="S10" i="1"/>
  <c r="S11" i="1"/>
  <c r="S48" i="1"/>
  <c r="S170" i="1"/>
  <c r="S12" i="1"/>
  <c r="S64" i="1"/>
  <c r="S112" i="1"/>
  <c r="S78" i="1"/>
  <c r="S171" i="1"/>
  <c r="S13" i="1"/>
  <c r="S79" i="1"/>
  <c r="S163" i="1"/>
  <c r="S164" i="1"/>
  <c r="S29" i="1"/>
  <c r="S14" i="1"/>
  <c r="S91" i="1"/>
  <c r="S49" i="1"/>
  <c r="S172" i="1"/>
  <c r="S65" i="1"/>
  <c r="S50" i="1"/>
  <c r="S51" i="1"/>
  <c r="S180" i="1"/>
  <c r="S80" i="1"/>
  <c r="S165" i="1"/>
  <c r="S66" i="1"/>
  <c r="S67" i="1"/>
  <c r="S56" i="1"/>
  <c r="S15" i="1"/>
  <c r="S92" i="1"/>
  <c r="S93" i="1"/>
  <c r="S94" i="1"/>
  <c r="S88" i="1"/>
  <c r="S30" i="1"/>
  <c r="S154" i="1"/>
  <c r="S181" i="1"/>
  <c r="S166" i="1"/>
  <c r="S147" i="1"/>
  <c r="S173" i="1"/>
  <c r="S81" i="1"/>
  <c r="S174" i="1"/>
  <c r="S16" i="1"/>
  <c r="S68" i="1"/>
  <c r="S98" i="1"/>
  <c r="S95" i="1"/>
  <c r="S69" i="1"/>
  <c r="S17" i="1"/>
  <c r="S113" i="1"/>
  <c r="S82" i="1"/>
  <c r="S70" i="1"/>
  <c r="S175" i="1"/>
  <c r="S167" i="1"/>
  <c r="S31" i="1"/>
  <c r="S155" i="1"/>
  <c r="S182" i="1"/>
  <c r="S32" i="1"/>
  <c r="S176" i="1"/>
  <c r="S148" i="1"/>
  <c r="S96" i="1"/>
  <c r="S33" i="1"/>
  <c r="S156" i="1"/>
  <c r="S34" i="1"/>
  <c r="S99" i="1"/>
  <c r="S61" i="1"/>
  <c r="S100" i="1"/>
  <c r="S101" i="1"/>
  <c r="S102" i="1"/>
  <c r="S149" i="1"/>
  <c r="S18" i="1"/>
  <c r="S19" i="1"/>
  <c r="S71" i="1"/>
  <c r="S52" i="1"/>
  <c r="S177" i="1"/>
  <c r="S114" i="1"/>
  <c r="S115" i="1"/>
  <c r="S116" i="1"/>
  <c r="S35" i="1"/>
  <c r="S57" i="1"/>
  <c r="S20" i="1"/>
  <c r="S72" i="1"/>
  <c r="S36" i="1"/>
  <c r="S73" i="1"/>
  <c r="S83" i="1"/>
  <c r="S117" i="1"/>
  <c r="S84" i="1"/>
  <c r="S118" i="1"/>
  <c r="S37" i="1"/>
  <c r="S157" i="1"/>
  <c r="S158" i="1"/>
  <c r="S119" i="1"/>
  <c r="S120" i="1"/>
  <c r="S21" i="1"/>
  <c r="S103" i="1"/>
  <c r="S104" i="1"/>
  <c r="S178" i="1"/>
  <c r="S85" i="1"/>
  <c r="S168" i="1"/>
  <c r="S121" i="1"/>
  <c r="S122" i="1"/>
  <c r="S38" i="1"/>
  <c r="S74" i="1"/>
  <c r="S26" i="1"/>
  <c r="S75" i="1"/>
  <c r="S123" i="1"/>
  <c r="S179" i="1"/>
  <c r="S124" i="1"/>
  <c r="S39" i="1"/>
  <c r="S89" i="1"/>
  <c r="S22" i="1"/>
  <c r="S125" i="1"/>
  <c r="S126" i="1"/>
  <c r="S127" i="1"/>
  <c r="S159" i="1"/>
  <c r="S128" i="1"/>
  <c r="S129" i="1"/>
  <c r="S40" i="1"/>
  <c r="S97" i="1"/>
  <c r="S27" i="1"/>
  <c r="S130" i="1"/>
  <c r="S131" i="1"/>
  <c r="S132" i="1"/>
  <c r="S133" i="1"/>
  <c r="S134" i="1"/>
  <c r="S160" i="1"/>
  <c r="S28" i="1"/>
  <c r="S135" i="1"/>
  <c r="S76" i="1"/>
  <c r="S53" i="1"/>
  <c r="S23" i="1"/>
  <c r="S136" i="1"/>
  <c r="S41" i="1"/>
  <c r="S42" i="1"/>
  <c r="S137" i="1"/>
  <c r="S105" i="1"/>
  <c r="S138" i="1"/>
  <c r="S43" i="1"/>
  <c r="S62" i="1"/>
  <c r="S139" i="1"/>
  <c r="S161" i="1"/>
  <c r="S140" i="1"/>
  <c r="S141" i="1"/>
  <c r="S24" i="1"/>
  <c r="S44" i="1"/>
  <c r="S54" i="1"/>
  <c r="S162" i="1"/>
  <c r="S142" i="1"/>
  <c r="S106" i="1"/>
  <c r="S143" i="1"/>
  <c r="S144" i="1"/>
  <c r="S45" i="1"/>
  <c r="S145" i="1"/>
  <c r="S107" i="1"/>
  <c r="S150" i="1"/>
  <c r="R51" i="1"/>
  <c r="R22" i="1"/>
  <c r="F183" i="1"/>
  <c r="R17" i="1" l="1"/>
  <c r="T17" i="1" s="1"/>
  <c r="R88" i="1"/>
  <c r="T88" i="1" s="1"/>
  <c r="R70" i="1"/>
  <c r="T70" i="1" s="1"/>
  <c r="R74" i="1"/>
  <c r="T74" i="1" s="1"/>
  <c r="R106" i="1"/>
  <c r="T106" i="1" s="1"/>
  <c r="R76" i="1"/>
  <c r="T76" i="1" s="1"/>
  <c r="R134" i="1"/>
  <c r="T134" i="1" s="1"/>
  <c r="R130" i="1"/>
  <c r="T130" i="1" s="1"/>
  <c r="R95" i="1"/>
  <c r="T95" i="1" s="1"/>
  <c r="R93" i="1"/>
  <c r="T93" i="1" s="1"/>
  <c r="R68" i="1"/>
  <c r="T68" i="1" s="1"/>
  <c r="R170" i="1"/>
  <c r="T170" i="1" s="1"/>
  <c r="R25" i="1"/>
  <c r="T25" i="1" s="1"/>
  <c r="R169" i="1"/>
  <c r="T169" i="1" s="1"/>
  <c r="R8" i="1"/>
  <c r="T8" i="1" s="1"/>
  <c r="T51" i="1"/>
  <c r="R152" i="1"/>
  <c r="T152" i="1" s="1"/>
  <c r="R65" i="1"/>
  <c r="T65" i="1" s="1"/>
  <c r="R79" i="1"/>
  <c r="T79" i="1" s="1"/>
  <c r="R48" i="1"/>
  <c r="T48" i="1" s="1"/>
  <c r="R110" i="1"/>
  <c r="T110" i="1" s="1"/>
  <c r="R58" i="1"/>
  <c r="T58" i="1" s="1"/>
  <c r="R75" i="1"/>
  <c r="T75" i="1" s="1"/>
  <c r="R21" i="1"/>
  <c r="T21" i="1" s="1"/>
  <c r="R158" i="1"/>
  <c r="T158" i="1" s="1"/>
  <c r="R20" i="1"/>
  <c r="T20" i="1" s="1"/>
  <c r="R177" i="1"/>
  <c r="T177" i="1" s="1"/>
  <c r="R102" i="1"/>
  <c r="T102" i="1" s="1"/>
  <c r="R33" i="1"/>
  <c r="T33" i="1" s="1"/>
  <c r="R155" i="1"/>
  <c r="T155" i="1" s="1"/>
  <c r="R71" i="1"/>
  <c r="T71" i="1" s="1"/>
  <c r="R101" i="1"/>
  <c r="T101" i="1" s="1"/>
  <c r="R34" i="1"/>
  <c r="T34" i="1" s="1"/>
  <c r="R14" i="1"/>
  <c r="T14" i="1" s="1"/>
  <c r="R111" i="1"/>
  <c r="T111" i="1" s="1"/>
  <c r="R7" i="1"/>
  <c r="T7" i="1" s="1"/>
  <c r="R72" i="1"/>
  <c r="T72" i="1" s="1"/>
  <c r="R149" i="1"/>
  <c r="T149" i="1" s="1"/>
  <c r="R100" i="1"/>
  <c r="T100" i="1" s="1"/>
  <c r="R156" i="1"/>
  <c r="T156" i="1" s="1"/>
  <c r="R182" i="1"/>
  <c r="T182" i="1" s="1"/>
  <c r="R167" i="1"/>
  <c r="T167" i="1" s="1"/>
  <c r="R69" i="1"/>
  <c r="T69" i="1" s="1"/>
  <c r="R81" i="1"/>
  <c r="T81" i="1" s="1"/>
  <c r="R181" i="1"/>
  <c r="T181" i="1" s="1"/>
  <c r="R94" i="1"/>
  <c r="T94" i="1" s="1"/>
  <c r="R32" i="1"/>
  <c r="T32" i="1" s="1"/>
  <c r="R63" i="1"/>
  <c r="T63" i="1" s="1"/>
  <c r="R125" i="1"/>
  <c r="T125" i="1" s="1"/>
  <c r="R26" i="1"/>
  <c r="T26" i="1" s="1"/>
  <c r="R178" i="1"/>
  <c r="T178" i="1" s="1"/>
  <c r="R157" i="1"/>
  <c r="T157" i="1" s="1"/>
  <c r="R57" i="1"/>
  <c r="T57" i="1" s="1"/>
  <c r="R49" i="1"/>
  <c r="T49" i="1" s="1"/>
  <c r="R109" i="1"/>
  <c r="T109" i="1" s="1"/>
  <c r="R59" i="1"/>
  <c r="T59" i="1" s="1"/>
  <c r="R142" i="1"/>
  <c r="T142" i="1" s="1"/>
  <c r="R139" i="1"/>
  <c r="T139" i="1" s="1"/>
  <c r="R133" i="1"/>
  <c r="T133" i="1" s="1"/>
  <c r="R128" i="1"/>
  <c r="T128" i="1" s="1"/>
  <c r="R120" i="1"/>
  <c r="T120" i="1" s="1"/>
  <c r="R73" i="1"/>
  <c r="T73" i="1" s="1"/>
  <c r="R116" i="1"/>
  <c r="T116" i="1" s="1"/>
  <c r="R52" i="1"/>
  <c r="T52" i="1" s="1"/>
  <c r="R164" i="1"/>
  <c r="T164" i="1" s="1"/>
  <c r="R144" i="1"/>
  <c r="T144" i="1" s="1"/>
  <c r="R162" i="1"/>
  <c r="T162" i="1" s="1"/>
  <c r="R141" i="1"/>
  <c r="T141" i="1" s="1"/>
  <c r="R137" i="1"/>
  <c r="T137" i="1" s="1"/>
  <c r="R159" i="1"/>
  <c r="T159" i="1" s="1"/>
  <c r="R37" i="1"/>
  <c r="T37" i="1" s="1"/>
  <c r="R84" i="1"/>
  <c r="T84" i="1" s="1"/>
  <c r="R113" i="1"/>
  <c r="T113" i="1" s="1"/>
  <c r="R16" i="1"/>
  <c r="T16" i="1" s="1"/>
  <c r="R30" i="1"/>
  <c r="T30" i="1" s="1"/>
  <c r="R118" i="1"/>
  <c r="T118" i="1" s="1"/>
  <c r="R117" i="1"/>
  <c r="T117" i="1" s="1"/>
  <c r="R138" i="1"/>
  <c r="T138" i="1" s="1"/>
  <c r="R126" i="1"/>
  <c r="T126" i="1" s="1"/>
  <c r="R96" i="1"/>
  <c r="T96" i="1" s="1"/>
  <c r="R175" i="1"/>
  <c r="T175" i="1" s="1"/>
  <c r="R92" i="1"/>
  <c r="T92" i="1" s="1"/>
  <c r="T22" i="1"/>
  <c r="R87" i="1"/>
  <c r="T87" i="1" s="1"/>
  <c r="R108" i="1"/>
  <c r="T108" i="1" s="1"/>
  <c r="R5" i="1"/>
  <c r="T5" i="1" s="1"/>
  <c r="R105" i="1"/>
  <c r="T105" i="1" s="1"/>
  <c r="R136" i="1"/>
  <c r="T136" i="1" s="1"/>
  <c r="R135" i="1"/>
  <c r="T135" i="1" s="1"/>
  <c r="R39" i="1"/>
  <c r="T39" i="1" s="1"/>
  <c r="R174" i="1"/>
  <c r="T174" i="1" s="1"/>
  <c r="R166" i="1"/>
  <c r="T166" i="1" s="1"/>
  <c r="R165" i="1"/>
  <c r="T165" i="1" s="1"/>
  <c r="R46" i="1"/>
  <c r="T46" i="1" s="1"/>
  <c r="R145" i="1"/>
  <c r="T145" i="1" s="1"/>
  <c r="R161" i="1"/>
  <c r="T161" i="1" s="1"/>
  <c r="R41" i="1"/>
  <c r="T41" i="1" s="1"/>
  <c r="R179" i="1"/>
  <c r="T179" i="1" s="1"/>
  <c r="R98" i="1"/>
  <c r="T98" i="1" s="1"/>
  <c r="R66" i="1"/>
  <c r="T66" i="1" s="1"/>
  <c r="R107" i="1"/>
  <c r="T107" i="1" s="1"/>
  <c r="R143" i="1"/>
  <c r="T143" i="1" s="1"/>
  <c r="R140" i="1"/>
  <c r="T140" i="1" s="1"/>
  <c r="R53" i="1"/>
  <c r="T53" i="1" s="1"/>
  <c r="R160" i="1"/>
  <c r="T160" i="1" s="1"/>
  <c r="R131" i="1"/>
  <c r="T131" i="1" s="1"/>
  <c r="R40" i="1"/>
  <c r="T40" i="1" s="1"/>
  <c r="R127" i="1"/>
  <c r="T127" i="1" s="1"/>
  <c r="R89" i="1"/>
  <c r="T89" i="1" s="1"/>
  <c r="R124" i="1"/>
  <c r="T124" i="1" s="1"/>
  <c r="R38" i="1"/>
  <c r="T38" i="1" s="1"/>
  <c r="R122" i="1"/>
  <c r="T122" i="1" s="1"/>
  <c r="R85" i="1"/>
  <c r="T85" i="1" s="1"/>
  <c r="R103" i="1"/>
  <c r="T103" i="1" s="1"/>
  <c r="R114" i="1"/>
  <c r="T114" i="1" s="1"/>
  <c r="R154" i="1"/>
  <c r="T154" i="1" s="1"/>
  <c r="R67" i="1"/>
  <c r="T67" i="1" s="1"/>
  <c r="R180" i="1"/>
  <c r="T180" i="1" s="1"/>
  <c r="R171" i="1"/>
  <c r="T171" i="1" s="1"/>
  <c r="R12" i="1"/>
  <c r="T12" i="1" s="1"/>
  <c r="R9" i="1"/>
  <c r="T9" i="1" s="1"/>
  <c r="R62" i="1"/>
  <c r="T62" i="1" s="1"/>
  <c r="R123" i="1"/>
  <c r="T123" i="1" s="1"/>
  <c r="R104" i="1"/>
  <c r="T104" i="1" s="1"/>
  <c r="R36" i="1"/>
  <c r="T36" i="1" s="1"/>
  <c r="R99" i="1"/>
  <c r="T99" i="1" s="1"/>
  <c r="R56" i="1"/>
  <c r="T56" i="1" s="1"/>
  <c r="R112" i="1"/>
  <c r="T112" i="1" s="1"/>
  <c r="R153" i="1"/>
  <c r="T153" i="1" s="1"/>
  <c r="R60" i="1"/>
  <c r="T60" i="1" s="1"/>
  <c r="R176" i="1"/>
  <c r="T176" i="1" s="1"/>
  <c r="R173" i="1"/>
  <c r="T173" i="1" s="1"/>
  <c r="R172" i="1"/>
  <c r="T172" i="1" s="1"/>
  <c r="R168" i="1"/>
  <c r="T168" i="1" s="1"/>
  <c r="R163" i="1"/>
  <c r="T163" i="1" s="1"/>
  <c r="R151" i="1"/>
  <c r="T151" i="1" s="1"/>
  <c r="R150" i="1"/>
  <c r="T150" i="1" s="1"/>
  <c r="R148" i="1"/>
  <c r="T148" i="1" s="1"/>
  <c r="R147" i="1"/>
  <c r="T147" i="1" s="1"/>
  <c r="R146" i="1"/>
  <c r="T146" i="1" s="1"/>
  <c r="R115" i="1"/>
  <c r="T115" i="1" s="1"/>
  <c r="R132" i="1"/>
  <c r="T132" i="1" s="1"/>
  <c r="R129" i="1"/>
  <c r="T129" i="1" s="1"/>
  <c r="R121" i="1"/>
  <c r="T121" i="1" s="1"/>
  <c r="R119" i="1"/>
  <c r="T119" i="1" s="1"/>
  <c r="R97" i="1"/>
  <c r="T97" i="1" s="1"/>
  <c r="R91" i="1"/>
  <c r="T91" i="1" s="1"/>
  <c r="R90" i="1"/>
  <c r="T90" i="1" s="1"/>
  <c r="R86" i="1"/>
  <c r="T86" i="1" s="1"/>
  <c r="R83" i="1"/>
  <c r="T83" i="1" s="1"/>
  <c r="R82" i="1"/>
  <c r="T82" i="1" s="1"/>
  <c r="R80" i="1"/>
  <c r="T80" i="1" s="1"/>
  <c r="R78" i="1"/>
  <c r="T78" i="1" s="1"/>
  <c r="R77" i="1"/>
  <c r="T77" i="1" s="1"/>
  <c r="R64" i="1"/>
  <c r="T64" i="1" s="1"/>
  <c r="R61" i="1"/>
  <c r="T61" i="1" s="1"/>
  <c r="R55" i="1"/>
  <c r="T55" i="1" s="1"/>
  <c r="R54" i="1"/>
  <c r="T54" i="1" s="1"/>
  <c r="R50" i="1"/>
  <c r="T50" i="1" s="1"/>
  <c r="R47" i="1"/>
  <c r="T47" i="1" s="1"/>
  <c r="R45" i="1"/>
  <c r="T45" i="1" s="1"/>
  <c r="R44" i="1"/>
  <c r="T44" i="1" s="1"/>
  <c r="R29" i="1"/>
  <c r="T29" i="1" s="1"/>
  <c r="R43" i="1"/>
  <c r="T43" i="1" s="1"/>
  <c r="R42" i="1"/>
  <c r="T42" i="1" s="1"/>
  <c r="R35" i="1"/>
  <c r="T35" i="1" s="1"/>
  <c r="R31" i="1"/>
  <c r="T31" i="1" s="1"/>
  <c r="R28" i="1"/>
  <c r="T28" i="1" s="1"/>
  <c r="R27" i="1"/>
  <c r="T27" i="1" s="1"/>
  <c r="R24" i="1"/>
  <c r="T24" i="1" s="1"/>
  <c r="R23" i="1"/>
  <c r="T23" i="1" s="1"/>
  <c r="R19" i="1"/>
  <c r="T19" i="1" s="1"/>
  <c r="R18" i="1"/>
  <c r="T18" i="1" s="1"/>
  <c r="R15" i="1"/>
  <c r="T15" i="1" s="1"/>
  <c r="R13" i="1"/>
  <c r="T13" i="1" s="1"/>
  <c r="R11" i="1"/>
  <c r="T11" i="1" s="1"/>
  <c r="R10" i="1"/>
  <c r="T10" i="1" s="1"/>
  <c r="R6" i="1"/>
  <c r="T6" i="1" s="1"/>
  <c r="R4" i="1" l="1"/>
  <c r="I3" i="1"/>
  <c r="I183" i="1" s="1"/>
  <c r="T4" i="1" l="1"/>
  <c r="J3" i="1"/>
  <c r="J183" i="1" s="1"/>
  <c r="S3" i="1" l="1"/>
  <c r="S183" i="1" s="1"/>
  <c r="K3" i="1" l="1"/>
  <c r="K183" i="1" s="1"/>
  <c r="R3" i="1" l="1"/>
  <c r="R183" i="1" s="1"/>
  <c r="J16" i="5"/>
  <c r="T3" i="1" l="1"/>
  <c r="T183" i="1" s="1"/>
</calcChain>
</file>

<file path=xl/sharedStrings.xml><?xml version="1.0" encoding="utf-8"?>
<sst xmlns="http://schemas.openxmlformats.org/spreadsheetml/2006/main" count="1334" uniqueCount="440">
  <si>
    <t>Emp ID</t>
  </si>
  <si>
    <t>Employee Name</t>
  </si>
  <si>
    <t xml:space="preserve"> MRATE</t>
  </si>
  <si>
    <t xml:space="preserve"> PLWF</t>
  </si>
  <si>
    <t xml:space="preserve"> Advance</t>
  </si>
  <si>
    <t xml:space="preserve"> PF</t>
  </si>
  <si>
    <t xml:space="preserve"> ESI</t>
  </si>
  <si>
    <t xml:space="preserve"> TDS</t>
  </si>
  <si>
    <t xml:space="preserve"> Total Earning</t>
  </si>
  <si>
    <t xml:space="preserve"> Total Deduction</t>
  </si>
  <si>
    <t xml:space="preserve"> Net Amount</t>
  </si>
  <si>
    <t>Department</t>
  </si>
  <si>
    <t>Father's Name</t>
  </si>
  <si>
    <t>TOTAL</t>
  </si>
  <si>
    <t>DAYS</t>
  </si>
  <si>
    <t>OT</t>
  </si>
  <si>
    <t>DAYS AMOUNT</t>
  </si>
  <si>
    <t>OT AMOUNT</t>
  </si>
  <si>
    <t>SALARY</t>
  </si>
  <si>
    <t xml:space="preserve"> PROF.  TAX.</t>
  </si>
  <si>
    <t>Wages</t>
  </si>
  <si>
    <t>UNPAID</t>
  </si>
  <si>
    <t>S.no.</t>
  </si>
  <si>
    <t>KUMAR AUTOCAST LTD MAY-2026</t>
  </si>
  <si>
    <t>AJAY KUMAR SOOD</t>
  </si>
  <si>
    <t>TARLOK NATH SOOD</t>
  </si>
  <si>
    <t>ADMIN SECTION</t>
  </si>
  <si>
    <t>SANTOSH SINGH</t>
  </si>
  <si>
    <t>NAIN SINGH</t>
  </si>
  <si>
    <t>PRANAV KHANNA</t>
  </si>
  <si>
    <t>ASHWANI KHANNA</t>
  </si>
  <si>
    <t>CHARANJIT SINGH HOTHI</t>
  </si>
  <si>
    <t>KISHAN SINGH</t>
  </si>
  <si>
    <t>ATUL SINGH</t>
  </si>
  <si>
    <t>BALDEV SINGH</t>
  </si>
  <si>
    <t>QUALITY SECTION</t>
  </si>
  <si>
    <t>RAJESH KUMAR</t>
  </si>
  <si>
    <t>SUKHDEV SHAH</t>
  </si>
  <si>
    <t>LADDEL SECTION</t>
  </si>
  <si>
    <t>ANAND PARKASH OJHA</t>
  </si>
  <si>
    <t>GOURI SHANKAR</t>
  </si>
  <si>
    <t>FURNICE SECTION</t>
  </si>
  <si>
    <t>MOHIT MALIK</t>
  </si>
  <si>
    <t>JATINDER KUMAR</t>
  </si>
  <si>
    <t>USHA JAYA PRAKASH</t>
  </si>
  <si>
    <t>W/O JAYA PRAKASH</t>
  </si>
  <si>
    <t>VINAY SINGH</t>
  </si>
  <si>
    <t>JITENDER SINGH</t>
  </si>
  <si>
    <t>LAB SECTION</t>
  </si>
  <si>
    <t>BABLU SINGH</t>
  </si>
  <si>
    <t>VIJAY BAHADUR</t>
  </si>
  <si>
    <t>MOULDING SECTION</t>
  </si>
  <si>
    <t>PARMOD KUMAR</t>
  </si>
  <si>
    <t>RAM ASHREY THAKUR</t>
  </si>
  <si>
    <t>RAJU KUMAR SHUKLA</t>
  </si>
  <si>
    <t>SACHIDANAND SHUKLA</t>
  </si>
  <si>
    <t>SECURITY SECTION</t>
  </si>
  <si>
    <t xml:space="preserve">BAIJANATH </t>
  </si>
  <si>
    <t>FENKU</t>
  </si>
  <si>
    <t>MUKAND LAL CHAUDHARY</t>
  </si>
  <si>
    <t>RADHA NATH</t>
  </si>
  <si>
    <t>PATTERN SHOP</t>
  </si>
  <si>
    <t>ISLAM ANSARI</t>
  </si>
  <si>
    <t>SALAMAT ANSARI</t>
  </si>
  <si>
    <t>FURNACE DEPARTMENT</t>
  </si>
  <si>
    <t>BIRENDRA SINGH</t>
  </si>
  <si>
    <t>BALESHWAR SINGH</t>
  </si>
  <si>
    <t>CLEANING SECTION</t>
  </si>
  <si>
    <t>BALKAR SINGH</t>
  </si>
  <si>
    <t>SANTOKH RAJ</t>
  </si>
  <si>
    <t>ASHOK KUMAR</t>
  </si>
  <si>
    <t>SHRI PASWAN</t>
  </si>
  <si>
    <t>NOKHAI</t>
  </si>
  <si>
    <t>BISHUN</t>
  </si>
  <si>
    <t>SAND BLAST</t>
  </si>
  <si>
    <t>SUBHASH CHANDRA</t>
  </si>
  <si>
    <t>SEETA RAM PRASAD</t>
  </si>
  <si>
    <t>DISPATCH SECTION</t>
  </si>
  <si>
    <t>SONI</t>
  </si>
  <si>
    <t>KHEM SINGH</t>
  </si>
  <si>
    <t>RAJ KUMAR</t>
  </si>
  <si>
    <t>AYODHYA</t>
  </si>
  <si>
    <t>MAINT. GENERAL</t>
  </si>
  <si>
    <t xml:space="preserve">BINOD CHAURASIYA </t>
  </si>
  <si>
    <t>BUDHIRAM</t>
  </si>
  <si>
    <t>SHAMSHER SINGH</t>
  </si>
  <si>
    <t>SUBEGH SINGH</t>
  </si>
  <si>
    <t>ELECTRICAL</t>
  </si>
  <si>
    <t>AMIT SINGH</t>
  </si>
  <si>
    <t>SHIVNARAYAN SINGH</t>
  </si>
  <si>
    <t>BHUTU URANG</t>
  </si>
  <si>
    <t>CHITA URANG</t>
  </si>
  <si>
    <t>GRINDING FINISHING</t>
  </si>
  <si>
    <t>PANKAJ VISHWAKARMA</t>
  </si>
  <si>
    <t>RAVINDRA VISHWAKARMA</t>
  </si>
  <si>
    <t>GURPREET SINGH</t>
  </si>
  <si>
    <t>HARJINDER SINGH</t>
  </si>
  <si>
    <t>JAGAT BAHADUR</t>
  </si>
  <si>
    <t>KHADAK BAHADUR</t>
  </si>
  <si>
    <t>GAJENDER PRASAD ARYAL</t>
  </si>
  <si>
    <t>HARI PRASAD ARYAL</t>
  </si>
  <si>
    <t>JAY PRAKASH</t>
  </si>
  <si>
    <t>CHINTA MANI PANDEY</t>
  </si>
  <si>
    <t>SANTOSH KUMAR</t>
  </si>
  <si>
    <t>ANTU SAW</t>
  </si>
  <si>
    <t>RAJENDER YADAV</t>
  </si>
  <si>
    <t>RAM PUJAN YADAV</t>
  </si>
  <si>
    <t>SUBASH HEMBROM</t>
  </si>
  <si>
    <t>SUNIL HEMBROM</t>
  </si>
  <si>
    <t>SUGRIV</t>
  </si>
  <si>
    <t>MAHESH</t>
  </si>
  <si>
    <t>SHASHI BHUSHAN</t>
  </si>
  <si>
    <t>MADAN PRASAD</t>
  </si>
  <si>
    <t>SITARAM SINGH</t>
  </si>
  <si>
    <t>RAM SWRUP SINGH</t>
  </si>
  <si>
    <t>SUDHIR KUMAR</t>
  </si>
  <si>
    <t>RAMSHABD</t>
  </si>
  <si>
    <t>VINAY KUMAR</t>
  </si>
  <si>
    <t>LAXMAN SINGH</t>
  </si>
  <si>
    <t>RAMESH BHARTI</t>
  </si>
  <si>
    <t>RAM KISHUN BHARTI</t>
  </si>
  <si>
    <t>SAND PLANT</t>
  </si>
  <si>
    <t>SUBODH SHAH</t>
  </si>
  <si>
    <t>VEJNATH SHAH</t>
  </si>
  <si>
    <t>ARVIND YADAV</t>
  </si>
  <si>
    <t>SURYABHAN YADAV</t>
  </si>
  <si>
    <t>CORE SECTION</t>
  </si>
  <si>
    <t>AMBIKA PARSAD MAHTO</t>
  </si>
  <si>
    <t>SUKHDEV PARSAD MAHTO</t>
  </si>
  <si>
    <t>RANA KUMAR SINGH</t>
  </si>
  <si>
    <t>HARI NARAYAN SINGH</t>
  </si>
  <si>
    <t>RAMESH KUMAR</t>
  </si>
  <si>
    <t>KHARPATTU</t>
  </si>
  <si>
    <t>AKHILESH SINGH</t>
  </si>
  <si>
    <t>CHANDRAMA SINGH</t>
  </si>
  <si>
    <t xml:space="preserve">MILAN MANIK TRIPURA </t>
  </si>
  <si>
    <t>KRISHNA PRASAD TRIPURA</t>
  </si>
  <si>
    <t>INDERMAL SINGH</t>
  </si>
  <si>
    <t>SATYANARAYAN</t>
  </si>
  <si>
    <t>RAMA SHANKAR YADAV</t>
  </si>
  <si>
    <t>SHIV JI YADEV</t>
  </si>
  <si>
    <t>GIRISH CHANDER</t>
  </si>
  <si>
    <t>BAIJ NATH</t>
  </si>
  <si>
    <t>STORE SECTION</t>
  </si>
  <si>
    <t>NAND KISHOR TIWARI</t>
  </si>
  <si>
    <t>MURLIDHAR TIWARI</t>
  </si>
  <si>
    <t>PARVATI</t>
  </si>
  <si>
    <t>W/O KALICHARAN</t>
  </si>
  <si>
    <t xml:space="preserve">RABILAL SOREN </t>
  </si>
  <si>
    <t>DHENA SOREN</t>
  </si>
  <si>
    <t>JATIN MANIK TRIPURA</t>
  </si>
  <si>
    <t>MADAN MOHAN  TRIPURA</t>
  </si>
  <si>
    <t xml:space="preserve">PINTU </t>
  </si>
  <si>
    <t>BRIJNATH</t>
  </si>
  <si>
    <t xml:space="preserve">SUBEDAR </t>
  </si>
  <si>
    <t>VIRENDR KUMAR</t>
  </si>
  <si>
    <t>RAVINDRA RAY</t>
  </si>
  <si>
    <t>RAMPARWESH RAY</t>
  </si>
  <si>
    <t>RAMU SINGH</t>
  </si>
  <si>
    <t>THAKUR SINGH</t>
  </si>
  <si>
    <t>UTAM KUMAR</t>
  </si>
  <si>
    <t>MOHAN YADAV</t>
  </si>
  <si>
    <t>MUKESH KUMAR</t>
  </si>
  <si>
    <t>SATI DEEN</t>
  </si>
  <si>
    <t xml:space="preserve">SUSHIL KUMAR </t>
  </si>
  <si>
    <t>JAN BAHADUR</t>
  </si>
  <si>
    <t>NIBULAL</t>
  </si>
  <si>
    <t>DASHI</t>
  </si>
  <si>
    <t>PRAMOD KUMAR</t>
  </si>
  <si>
    <t>RAJ MANGAL PRASAD</t>
  </si>
  <si>
    <t>RAJESHWARI</t>
  </si>
  <si>
    <t>W/O RAJESH</t>
  </si>
  <si>
    <t xml:space="preserve">RAVI KUMAR </t>
  </si>
  <si>
    <t xml:space="preserve">MAITU </t>
  </si>
  <si>
    <t>ONKAR NATH MISHRA</t>
  </si>
  <si>
    <t>LAKHAN LAL MISHRA</t>
  </si>
  <si>
    <t>HARDEV</t>
  </si>
  <si>
    <t>VEERI SINGH</t>
  </si>
  <si>
    <t>PAPPU SINGH</t>
  </si>
  <si>
    <t>LALJI SINGH</t>
  </si>
  <si>
    <t>UDHEYVEER</t>
  </si>
  <si>
    <t>DALMER SINGH</t>
  </si>
  <si>
    <t>SAMION BASKEY</t>
  </si>
  <si>
    <t>JAHAN BASKEY</t>
  </si>
  <si>
    <t>RAJESH</t>
  </si>
  <si>
    <t>SOHAN</t>
  </si>
  <si>
    <t>BHARAT</t>
  </si>
  <si>
    <t>SURINDER PAL</t>
  </si>
  <si>
    <t>DHARAMPAL</t>
  </si>
  <si>
    <t>SUKRU</t>
  </si>
  <si>
    <t>MELTING SECTION</t>
  </si>
  <si>
    <t>PRADEEP KUMAR</t>
  </si>
  <si>
    <t>RAM KARAN</t>
  </si>
  <si>
    <t>PALEN MARDI</t>
  </si>
  <si>
    <t>SUNIRAM MARDI</t>
  </si>
  <si>
    <t>SATYAM PANDEY</t>
  </si>
  <si>
    <t>SUBODH</t>
  </si>
  <si>
    <t>SUKAI</t>
  </si>
  <si>
    <t>TRIVENI</t>
  </si>
  <si>
    <t>NAVIN KUMAR</t>
  </si>
  <si>
    <t>VILAS RAY</t>
  </si>
  <si>
    <t>RAJESH NARZARY</t>
  </si>
  <si>
    <t>MARDIN NARZARY</t>
  </si>
  <si>
    <t>JITENDRA KUMAR SINGH</t>
  </si>
  <si>
    <t>LALA SINGH</t>
  </si>
  <si>
    <t xml:space="preserve">DIVAKAR KUMAR </t>
  </si>
  <si>
    <t>DINESH KUMAR</t>
  </si>
  <si>
    <t>BRAJESH KUMAR</t>
  </si>
  <si>
    <t>MEHARVAN</t>
  </si>
  <si>
    <t>DILIP  KUMAR</t>
  </si>
  <si>
    <t>SANJAY KUMAR</t>
  </si>
  <si>
    <t>RAJU</t>
  </si>
  <si>
    <t>ISHWARI</t>
  </si>
  <si>
    <t xml:space="preserve">GEETA </t>
  </si>
  <si>
    <t>W/O SANTOSH KUMAR</t>
  </si>
  <si>
    <t xml:space="preserve">NANDAN KUMAR </t>
  </si>
  <si>
    <t>SUKH DEV PARSAD THAKUR</t>
  </si>
  <si>
    <t>RAVIRAJ KUMAR</t>
  </si>
  <si>
    <t>KRISHNA SINGH</t>
  </si>
  <si>
    <t xml:space="preserve">MAHAVEER </t>
  </si>
  <si>
    <t>RAMASUKH</t>
  </si>
  <si>
    <t>LALITA KUMARI</t>
  </si>
  <si>
    <t>D/O LALAN KAMAT</t>
  </si>
  <si>
    <t>SURESH KUMAR</t>
  </si>
  <si>
    <t>BHRIGU NATH</t>
  </si>
  <si>
    <t>CHANDRIKA</t>
  </si>
  <si>
    <t xml:space="preserve">ANCHAL </t>
  </si>
  <si>
    <t>RAKESH</t>
  </si>
  <si>
    <t xml:space="preserve">MAZHAR ALI </t>
  </si>
  <si>
    <t>ALI ULLAH ANSARI</t>
  </si>
  <si>
    <t xml:space="preserve">BANWARI LAL </t>
  </si>
  <si>
    <t>SUDAMA</t>
  </si>
  <si>
    <t>SHYAM LAL</t>
  </si>
  <si>
    <t>ARBAJ SHEKH</t>
  </si>
  <si>
    <t>MD MUKTAR SHEKH</t>
  </si>
  <si>
    <t>MD MANAJUR SEKH</t>
  </si>
  <si>
    <t>JAKIR SEKH</t>
  </si>
  <si>
    <t>LALU PRASAD</t>
  </si>
  <si>
    <t>BACHA LAL</t>
  </si>
  <si>
    <t>PRADIP KUMAR</t>
  </si>
  <si>
    <t>RAMDAS</t>
  </si>
  <si>
    <t>DEENA NATH</t>
  </si>
  <si>
    <t>RAMBRIKSH</t>
  </si>
  <si>
    <t>ASHA DEVI</t>
  </si>
  <si>
    <t xml:space="preserve">CHHABBI </t>
  </si>
  <si>
    <t>NATHUNI</t>
  </si>
  <si>
    <t xml:space="preserve">SHYAMU KUMAR </t>
  </si>
  <si>
    <t>CHEDI LAAL</t>
  </si>
  <si>
    <t xml:space="preserve">PINTU PASWAN </t>
  </si>
  <si>
    <t>DILIP KUMAR PASWAN</t>
  </si>
  <si>
    <t>NATHU RAM</t>
  </si>
  <si>
    <t>AWDESH</t>
  </si>
  <si>
    <t>AMIT MAJUMDER</t>
  </si>
  <si>
    <t>ASHUTOSH MAJUMDER</t>
  </si>
  <si>
    <t xml:space="preserve">MANOJ KUMAR </t>
  </si>
  <si>
    <t>PASU PAT</t>
  </si>
  <si>
    <t xml:space="preserve">ARJUN KUMAR GUPTA </t>
  </si>
  <si>
    <t>SHIV BAHADUR GUPTA</t>
  </si>
  <si>
    <t>RENU DEVI</t>
  </si>
  <si>
    <t>W/O BADKOO</t>
  </si>
  <si>
    <t>TULASI RAM</t>
  </si>
  <si>
    <t>MAHENDER NATH</t>
  </si>
  <si>
    <t>LALDHARI</t>
  </si>
  <si>
    <t>AMERKA KHARWAR</t>
  </si>
  <si>
    <t>NANDKISHOR KHARWAR</t>
  </si>
  <si>
    <t>SAVITRI</t>
  </si>
  <si>
    <t>W/O JIYA LAL</t>
  </si>
  <si>
    <t xml:space="preserve">BAHORI LAL </t>
  </si>
  <si>
    <t>JIYARAM</t>
  </si>
  <si>
    <t>JASWANT</t>
  </si>
  <si>
    <t>KAMTA</t>
  </si>
  <si>
    <t xml:space="preserve">SUKHDEV RAJ </t>
  </si>
  <si>
    <t>HARBANS LAL</t>
  </si>
  <si>
    <t xml:space="preserve">SACHIN KUMAR </t>
  </si>
  <si>
    <t>VIJAY SHANKAR</t>
  </si>
  <si>
    <t>PAGOL MUNDA</t>
  </si>
  <si>
    <t>MARCHU MUNDA</t>
  </si>
  <si>
    <t>RANJEET</t>
  </si>
  <si>
    <t>VINOD</t>
  </si>
  <si>
    <t>SHUKU MUNDA</t>
  </si>
  <si>
    <t>BUDU</t>
  </si>
  <si>
    <t>RAM KUMAR</t>
  </si>
  <si>
    <t>ABHILAKH RAI</t>
  </si>
  <si>
    <t>SHRIHARI THAKUR</t>
  </si>
  <si>
    <t>RAM ISHWAR THAKUR</t>
  </si>
  <si>
    <t>MONU KUMAR</t>
  </si>
  <si>
    <t xml:space="preserve">JAGDISH CHAUDHARY </t>
  </si>
  <si>
    <t xml:space="preserve">SURAJ </t>
  </si>
  <si>
    <t>VEERENDRA KUMAR</t>
  </si>
  <si>
    <t>MD SABBA SHAIKH</t>
  </si>
  <si>
    <t>JAKIR SHAIKH</t>
  </si>
  <si>
    <t>MD AKARMUL SEKH</t>
  </si>
  <si>
    <t>SAILESH KUMAR</t>
  </si>
  <si>
    <t>DEEP LAL</t>
  </si>
  <si>
    <t>LALAN KAMAT</t>
  </si>
  <si>
    <t>THAKAN KAMAT</t>
  </si>
  <si>
    <t>KAILASH KUMAR</t>
  </si>
  <si>
    <t>KESHAN</t>
  </si>
  <si>
    <t>MANTOSH</t>
  </si>
  <si>
    <t>BABU LAL</t>
  </si>
  <si>
    <t xml:space="preserve">RITESH KUMAR PANDEY </t>
  </si>
  <si>
    <t>KALP NATH PANDEY</t>
  </si>
  <si>
    <t xml:space="preserve">MANOJ RAM </t>
  </si>
  <si>
    <t>RAM RAJ RAM</t>
  </si>
  <si>
    <t>CHUTTAN</t>
  </si>
  <si>
    <t>VIJAY KUMAR</t>
  </si>
  <si>
    <t>RAM ADHARE</t>
  </si>
  <si>
    <t>RAMCHANDRA</t>
  </si>
  <si>
    <t>BRAJLAL</t>
  </si>
  <si>
    <t>SHAMBU SARAN CHOUDHARY</t>
  </si>
  <si>
    <t>YOGENDRA CHOUDHARY</t>
  </si>
  <si>
    <t>RAM BHAJAN</t>
  </si>
  <si>
    <t>MUNNI PRASAD</t>
  </si>
  <si>
    <t>PAWAN KUMAR SINGH</t>
  </si>
  <si>
    <t>KANHAIYA PRASAD SINGH</t>
  </si>
  <si>
    <t>KAMLESH KUMAR</t>
  </si>
  <si>
    <t>BABULAL</t>
  </si>
  <si>
    <t>JAMARUDDIN MIYAN</t>
  </si>
  <si>
    <t>SALKHU MIYAN</t>
  </si>
  <si>
    <t>SHARJAHAN MALLIK</t>
  </si>
  <si>
    <t>AFJAL MALLIK</t>
  </si>
  <si>
    <t xml:space="preserve">MUSARAF SHEKH </t>
  </si>
  <si>
    <t>IDRISH SHEKH</t>
  </si>
  <si>
    <t>GULSHAN</t>
  </si>
  <si>
    <t>MEVALAL</t>
  </si>
  <si>
    <t>DINESH CHAUDHARI</t>
  </si>
  <si>
    <t>LALLAN CHAUDHARI</t>
  </si>
  <si>
    <t>SHEELU</t>
  </si>
  <si>
    <t>NARESH</t>
  </si>
  <si>
    <t xml:space="preserve">ANURAG DUBEY </t>
  </si>
  <si>
    <t>SURESH NARAYAN DUBEY</t>
  </si>
  <si>
    <t>CHARLICH SOREN</t>
  </si>
  <si>
    <t>BIREN</t>
  </si>
  <si>
    <t>KARMI ASUR</t>
  </si>
  <si>
    <t>W/O: PAGOL MUNDA</t>
  </si>
  <si>
    <t>NIL BAHADUR CHETRY</t>
  </si>
  <si>
    <t>KARNA BAHADUR CHETRY</t>
  </si>
  <si>
    <t>DHANSU KUMAR</t>
  </si>
  <si>
    <t>SHIVPUJAN MISHTRI</t>
  </si>
  <si>
    <t>MANJEET KUMAR</t>
  </si>
  <si>
    <t xml:space="preserve">DHANI RAM </t>
  </si>
  <si>
    <t>SHOBHIT SINGH</t>
  </si>
  <si>
    <t xml:space="preserve">BASUKINATH KUMAR </t>
  </si>
  <si>
    <t>NIRANJAN KUMAR</t>
  </si>
  <si>
    <t>SUNDRALAL</t>
  </si>
  <si>
    <t>RAM ACHAL</t>
  </si>
  <si>
    <t xml:space="preserve">SUDHEER </t>
  </si>
  <si>
    <t>W/O:SUNDRALAL</t>
  </si>
  <si>
    <t>KAMESHWAR  SAO</t>
  </si>
  <si>
    <t>RAM SAGAR SAO</t>
  </si>
  <si>
    <t>ASHISH SOOD</t>
  </si>
  <si>
    <t>MANOJ SHARMA</t>
  </si>
  <si>
    <t>SHIV PARSAD SHARMA</t>
  </si>
  <si>
    <t>AKHATAR MALIK</t>
  </si>
  <si>
    <t>MAKBUL MALIK</t>
  </si>
  <si>
    <t>KARU MIYAN</t>
  </si>
  <si>
    <t>DHOKAL MIYAN</t>
  </si>
  <si>
    <t>ANIL KUMAR</t>
  </si>
  <si>
    <t>MANGAL</t>
  </si>
  <si>
    <t>PRAKASH RAI</t>
  </si>
  <si>
    <t>SUDARSHAN RAI</t>
  </si>
  <si>
    <t>AASHIK SHEKH</t>
  </si>
  <si>
    <t>SHOKAT SHEKH</t>
  </si>
  <si>
    <t>RINKU MALIK</t>
  </si>
  <si>
    <t>SAMID MALIK</t>
  </si>
  <si>
    <t>RAMESH RAJBHAR</t>
  </si>
  <si>
    <t>JAINATH SHIVNATH RAJBHAR</t>
  </si>
  <si>
    <t>AASHA DEVI</t>
  </si>
  <si>
    <t>MITENDRA RAM</t>
  </si>
  <si>
    <t>AFTAB SHEKH</t>
  </si>
  <si>
    <t>NASRUDDIN SHEKH</t>
  </si>
  <si>
    <t>SEFUL MALIK</t>
  </si>
  <si>
    <t>SAMAUL MALIK</t>
  </si>
  <si>
    <t>RADHESHYAM</t>
  </si>
  <si>
    <t>MD SEHMUL SHAIKH</t>
  </si>
  <si>
    <t>SABBA SAIKH</t>
  </si>
  <si>
    <t>DEEPAK CHAURASIYA</t>
  </si>
  <si>
    <t>BANDESH CHAURASIYA</t>
  </si>
  <si>
    <t>PRAMOD YADAV</t>
  </si>
  <si>
    <t>CHANDRADEEP YADAV</t>
  </si>
  <si>
    <t>RAM GUNI</t>
  </si>
  <si>
    <t>RAM KISHOR</t>
  </si>
  <si>
    <t xml:space="preserve">SUDHAKAR </t>
  </si>
  <si>
    <t>CHHOTE LAL</t>
  </si>
  <si>
    <t>LODE MUNDA</t>
  </si>
  <si>
    <t>RORE MUNDA</t>
  </si>
  <si>
    <t xml:space="preserve">DHARAM RAI </t>
  </si>
  <si>
    <t>PANIT RAY</t>
  </si>
  <si>
    <t>HARI PRASAD</t>
  </si>
  <si>
    <t>RAM SUMANTH</t>
  </si>
  <si>
    <t>JIYAUL MIRZA</t>
  </si>
  <si>
    <t>SAFRUL MIRZA</t>
  </si>
  <si>
    <t>CHHOTELAL MALIK</t>
  </si>
  <si>
    <t>SAMAUN MALIK</t>
  </si>
  <si>
    <t>SHAKIL SHEKH</t>
  </si>
  <si>
    <t>MANNAF SHEKH</t>
  </si>
  <si>
    <t>SONE LAL</t>
  </si>
  <si>
    <t>MUKESH SHARMA</t>
  </si>
  <si>
    <t>CHANDESHWARI SHARMA</t>
  </si>
  <si>
    <t>KANHAIYA KUMAR</t>
  </si>
  <si>
    <t>RAMBHAROSH MAHTO</t>
  </si>
  <si>
    <t>MISBAUL HAK</t>
  </si>
  <si>
    <t>JAMSHED MALIK</t>
  </si>
  <si>
    <t>RABINDRA</t>
  </si>
  <si>
    <t>ADHARE</t>
  </si>
  <si>
    <t>AMAR DEEP</t>
  </si>
  <si>
    <t>BATESHWAR KUMAR</t>
  </si>
  <si>
    <t>JANG BAHADUR</t>
  </si>
  <si>
    <t>GANGA RAM</t>
  </si>
  <si>
    <t>KOMAL</t>
  </si>
  <si>
    <t>SANT</t>
  </si>
  <si>
    <t>BIPIN BAJPAI</t>
  </si>
  <si>
    <t>SUNIL KUMAR BAJPAI</t>
  </si>
  <si>
    <t>RAHUL</t>
  </si>
  <si>
    <t>PINKU LAL</t>
  </si>
  <si>
    <t xml:space="preserve">RAJ KUMAR </t>
  </si>
  <si>
    <t>SACHIN KUMAR</t>
  </si>
  <si>
    <t>AVADESH KUMAR</t>
  </si>
  <si>
    <t>JAGDAMBA PARSAD</t>
  </si>
  <si>
    <t>PANKAJ KUMAR CHAUDHARY</t>
  </si>
  <si>
    <t>RAMNAGINA</t>
  </si>
  <si>
    <t>FULESHWAR SHARMA</t>
  </si>
  <si>
    <t>RAVI SHARMA</t>
  </si>
  <si>
    <t>RAHAMAT MIYAN</t>
  </si>
  <si>
    <t>HANIF MIYAN</t>
  </si>
  <si>
    <t>SHRI KANT</t>
  </si>
  <si>
    <t>SANDEV SHAH</t>
  </si>
  <si>
    <t>AJIT CHAURASIYA</t>
  </si>
  <si>
    <t>RAMDEV CHAURASIYA</t>
  </si>
  <si>
    <t xml:space="preserve">RAJENDRA KUMAR </t>
  </si>
  <si>
    <t>TEJI</t>
  </si>
  <si>
    <t>UMESH SINGH</t>
  </si>
  <si>
    <t>BHUKKHAN SINGH</t>
  </si>
  <si>
    <t>SANJEET</t>
  </si>
  <si>
    <t xml:space="preserve">CHOTE LAL </t>
  </si>
  <si>
    <t>SHANKAR</t>
  </si>
  <si>
    <t xml:space="preserve">KOMAL </t>
  </si>
  <si>
    <t>GOPI</t>
  </si>
  <si>
    <t>VEERPAL SINGH</t>
  </si>
  <si>
    <t>SUKHVEER 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</si>
</sst>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0"/>
    <numFmt numFmtId="165" formatCode="###,##0.00"/>
  </numFmts>
  <fonts count="25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2"/>
      <color theme="1"/>
      <name val="Arial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48"/>
      <color theme="1"/>
      <name val="VERDANA"/>
      <family val="2"/>
    </font>
    <font>
      <b/>
      <sz val="16"/>
      <color theme="1"/>
      <name val="VERDANA"/>
      <family val="2"/>
    </font>
    <font>
      <sz val="16"/>
      <color theme="1"/>
      <name val="Verdana"/>
      <family val="2"/>
    </font>
    <font>
      <b/>
      <sz val="16"/>
      <color theme="1"/>
      <name val="Arial"/>
      <family val="2"/>
    </font>
    <font>
      <sz val="16"/>
      <color rgb="FF000000"/>
      <name val="Verdana"/>
      <family val="2"/>
    </font>
    <font>
      <sz val="16"/>
      <color rgb="FF000000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b/>
      <sz val="14"/>
      <color theme="1"/>
      <name val="Arial"/>
      <family val="2"/>
    </font>
    <font>
      <b/>
      <sz val="28"/>
      <color theme="1"/>
      <name val="VERDANA"/>
      <family val="2"/>
    </font>
    <font>
      <b/>
      <sz val="36"/>
      <color theme="1"/>
      <name val="VERDANA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26"/>
      <color theme="1"/>
      <name val="Arial"/>
      <family val="2"/>
    </font>
    <font>
      <sz val="26"/>
      <color theme="1"/>
      <name val="Arial"/>
      <family val="2"/>
    </font>
    <font>
      <sz val="2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0" fillId="0" borderId="1" xfId="0" applyBorder="1"/>
    <xf numFmtId="0" fontId="0" fillId="0" borderId="0" xfId="0"/>
    <xf numFmtId="0" fontId="1" fillId="0" borderId="0" xfId="0" applyFont="1"/>
    <xf numFmtId="0" fontId="0" fillId="0" borderId="0" xfId="0" applyBorder="1"/>
    <xf numFmtId="164" fontId="3" fillId="4" borderId="0" xfId="0" applyNumberFormat="1" applyFont="1" applyFill="1" applyBorder="1" applyAlignment="1">
      <alignment wrapText="1"/>
    </xf>
    <xf numFmtId="164" fontId="1" fillId="4" borderId="0" xfId="0" applyNumberFormat="1" applyFont="1" applyFill="1" applyBorder="1"/>
    <xf numFmtId="0" fontId="1" fillId="0" borderId="0" xfId="0" applyFont="1" applyFill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 wrapText="1"/>
    </xf>
    <xf numFmtId="1" fontId="5" fillId="0" borderId="1" xfId="0" applyNumberFormat="1" applyFont="1" applyBorder="1" applyAlignment="1">
      <alignment horizontal="center"/>
    </xf>
    <xf numFmtId="0" fontId="4" fillId="0" borderId="0" xfId="0" applyFont="1"/>
    <xf numFmtId="164" fontId="5" fillId="0" borderId="5" xfId="0" applyNumberFormat="1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5" fillId="0" borderId="0" xfId="0" applyFont="1" applyAlignment="1">
      <alignment wrapText="1"/>
    </xf>
    <xf numFmtId="164" fontId="6" fillId="3" borderId="2" xfId="0" applyNumberFormat="1" applyFont="1" applyFill="1" applyBorder="1" applyAlignment="1">
      <alignment horizontal="center" vertical="center" wrapText="1"/>
    </xf>
    <xf numFmtId="164" fontId="5" fillId="0" borderId="0" xfId="0" applyNumberFormat="1" applyFont="1"/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10" fillId="2" borderId="5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165" fontId="9" fillId="0" borderId="1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0" fontId="8" fillId="0" borderId="0" xfId="0" applyFont="1"/>
    <xf numFmtId="164" fontId="9" fillId="0" borderId="5" xfId="0" applyNumberFormat="1" applyFont="1" applyFill="1" applyBorder="1" applyAlignment="1">
      <alignment horizontal="center" wrapText="1"/>
    </xf>
    <xf numFmtId="164" fontId="9" fillId="0" borderId="5" xfId="0" applyNumberFormat="1" applyFont="1" applyBorder="1"/>
    <xf numFmtId="164" fontId="9" fillId="0" borderId="0" xfId="0" applyNumberFormat="1" applyFont="1" applyFill="1" applyBorder="1" applyAlignment="1">
      <alignment horizontal="center" wrapText="1"/>
    </xf>
    <xf numFmtId="0" fontId="9" fillId="0" borderId="0" xfId="0" applyFont="1" applyFill="1"/>
    <xf numFmtId="0" fontId="12" fillId="0" borderId="5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164" fontId="10" fillId="3" borderId="2" xfId="0" applyNumberFormat="1" applyFont="1" applyFill="1" applyBorder="1" applyAlignment="1">
      <alignment horizontal="center" vertical="center" wrapText="1"/>
    </xf>
    <xf numFmtId="164" fontId="9" fillId="0" borderId="0" xfId="0" applyNumberFormat="1" applyFont="1"/>
    <xf numFmtId="0" fontId="14" fillId="0" borderId="0" xfId="0" applyFont="1"/>
    <xf numFmtId="0" fontId="15" fillId="2" borderId="1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65" fontId="14" fillId="0" borderId="1" xfId="0" applyNumberFormat="1" applyFont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164" fontId="14" fillId="0" borderId="1" xfId="0" applyNumberFormat="1" applyFont="1" applyFill="1" applyBorder="1" applyAlignment="1">
      <alignment horizontal="center" wrapText="1"/>
    </xf>
    <xf numFmtId="1" fontId="14" fillId="0" borderId="1" xfId="0" applyNumberFormat="1" applyFont="1" applyBorder="1" applyAlignment="1">
      <alignment horizontal="center"/>
    </xf>
    <xf numFmtId="0" fontId="13" fillId="0" borderId="0" xfId="0" applyFont="1"/>
    <xf numFmtId="164" fontId="14" fillId="0" borderId="5" xfId="0" applyNumberFormat="1" applyFont="1" applyFill="1" applyBorder="1" applyAlignment="1">
      <alignment horizontal="center" wrapText="1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/>
    </xf>
    <xf numFmtId="165" fontId="14" fillId="3" borderId="1" xfId="0" applyNumberFormat="1" applyFont="1" applyFill="1" applyBorder="1" applyAlignment="1">
      <alignment horizontal="center"/>
    </xf>
    <xf numFmtId="164" fontId="14" fillId="3" borderId="1" xfId="0" applyNumberFormat="1" applyFont="1" applyFill="1" applyBorder="1" applyAlignment="1">
      <alignment horizontal="center" wrapText="1"/>
    </xf>
    <xf numFmtId="1" fontId="14" fillId="0" borderId="5" xfId="0" applyNumberFormat="1" applyFont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4" fillId="0" borderId="0" xfId="0" applyFont="1" applyAlignment="1">
      <alignment wrapText="1"/>
    </xf>
    <xf numFmtId="164" fontId="15" fillId="3" borderId="2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/>
    <xf numFmtId="0" fontId="9" fillId="3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wrapText="1"/>
    </xf>
    <xf numFmtId="164" fontId="10" fillId="3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/>
    <xf numFmtId="0" fontId="18" fillId="2" borderId="1" xfId="0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164" fontId="18" fillId="2" borderId="5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wrapText="1"/>
    </xf>
    <xf numFmtId="0" fontId="19" fillId="0" borderId="1" xfId="0" applyFont="1" applyFill="1" applyBorder="1" applyAlignment="1">
      <alignment horizontal="center"/>
    </xf>
    <xf numFmtId="164" fontId="19" fillId="0" borderId="1" xfId="0" applyNumberFormat="1" applyFont="1" applyFill="1" applyBorder="1" applyAlignment="1">
      <alignment horizontal="center" wrapText="1"/>
    </xf>
    <xf numFmtId="164" fontId="19" fillId="0" borderId="5" xfId="0" applyNumberFormat="1" applyFont="1" applyFill="1" applyBorder="1" applyAlignment="1">
      <alignment horizontal="center" wrapText="1"/>
    </xf>
    <xf numFmtId="0" fontId="18" fillId="0" borderId="0" xfId="0" applyFont="1"/>
    <xf numFmtId="0" fontId="19" fillId="0" borderId="0" xfId="0" applyFont="1"/>
    <xf numFmtId="164" fontId="19" fillId="0" borderId="0" xfId="0" applyNumberFormat="1" applyFont="1"/>
    <xf numFmtId="164" fontId="20" fillId="0" borderId="1" xfId="0" applyNumberFormat="1" applyFont="1" applyFill="1" applyBorder="1" applyAlignment="1">
      <alignment horizontal="center" wrapText="1"/>
    </xf>
    <xf numFmtId="164" fontId="20" fillId="0" borderId="0" xfId="0" applyNumberFormat="1" applyFont="1"/>
    <xf numFmtId="0" fontId="19" fillId="0" borderId="1" xfId="0" applyFont="1" applyFill="1" applyBorder="1" applyAlignment="1">
      <alignment horizontal="left"/>
    </xf>
    <xf numFmtId="165" fontId="19" fillId="0" borderId="1" xfId="0" applyNumberFormat="1" applyFont="1" applyFill="1" applyBorder="1" applyAlignment="1">
      <alignment horizontal="center"/>
    </xf>
    <xf numFmtId="1" fontId="19" fillId="0" borderId="1" xfId="0" applyNumberFormat="1" applyFont="1" applyFill="1" applyBorder="1" applyAlignment="1">
      <alignment horizontal="center"/>
    </xf>
    <xf numFmtId="1" fontId="19" fillId="0" borderId="5" xfId="0" applyNumberFormat="1" applyFont="1" applyFill="1" applyBorder="1" applyAlignment="1">
      <alignment horizontal="center"/>
    </xf>
    <xf numFmtId="0" fontId="19" fillId="0" borderId="0" xfId="0" applyFont="1" applyFill="1"/>
    <xf numFmtId="0" fontId="19" fillId="0" borderId="0" xfId="0" applyFont="1" applyFill="1" applyAlignment="1">
      <alignment wrapText="1"/>
    </xf>
    <xf numFmtId="164" fontId="18" fillId="0" borderId="2" xfId="0" applyNumberFormat="1" applyFont="1" applyFill="1" applyBorder="1" applyAlignment="1">
      <alignment horizontal="center" vertical="center" wrapText="1"/>
    </xf>
    <xf numFmtId="164" fontId="21" fillId="0" borderId="2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164" fontId="22" fillId="2" borderId="1" xfId="0" applyNumberFormat="1" applyFont="1" applyFill="1" applyBorder="1" applyAlignment="1">
      <alignment horizontal="center" vertical="center" wrapText="1"/>
    </xf>
    <xf numFmtId="164" fontId="22" fillId="2" borderId="5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165" fontId="23" fillId="0" borderId="1" xfId="0" applyNumberFormat="1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164" fontId="23" fillId="0" borderId="1" xfId="0" applyNumberFormat="1" applyFont="1" applyFill="1" applyBorder="1" applyAlignment="1">
      <alignment horizontal="center" wrapText="1"/>
    </xf>
    <xf numFmtId="1" fontId="23" fillId="0" borderId="1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64" fontId="23" fillId="0" borderId="5" xfId="0" applyNumberFormat="1" applyFont="1" applyFill="1" applyBorder="1" applyAlignment="1">
      <alignment horizontal="center" wrapText="1"/>
    </xf>
    <xf numFmtId="164" fontId="23" fillId="0" borderId="5" xfId="0" applyNumberFormat="1" applyFont="1" applyBorder="1"/>
    <xf numFmtId="164" fontId="23" fillId="0" borderId="0" xfId="0" applyNumberFormat="1" applyFont="1" applyFill="1" applyBorder="1" applyAlignment="1">
      <alignment horizontal="center" wrapText="1"/>
    </xf>
    <xf numFmtId="0" fontId="23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left"/>
    </xf>
    <xf numFmtId="165" fontId="23" fillId="3" borderId="1" xfId="0" applyNumberFormat="1" applyFont="1" applyFill="1" applyBorder="1" applyAlignment="1">
      <alignment horizontal="center"/>
    </xf>
    <xf numFmtId="164" fontId="23" fillId="3" borderId="1" xfId="0" applyNumberFormat="1" applyFont="1" applyFill="1" applyBorder="1" applyAlignment="1">
      <alignment horizontal="center" wrapText="1"/>
    </xf>
    <xf numFmtId="1" fontId="23" fillId="0" borderId="5" xfId="0" applyNumberFormat="1" applyFont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left"/>
    </xf>
    <xf numFmtId="0" fontId="24" fillId="0" borderId="5" xfId="0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164" fontId="22" fillId="3" borderId="2" xfId="0" applyNumberFormat="1" applyFont="1" applyFill="1" applyBorder="1" applyAlignment="1">
      <alignment horizontal="center" vertical="center" wrapText="1"/>
    </xf>
    <xf numFmtId="164" fontId="2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9"/>
  <sheetViews>
    <sheetView workbookViewId="0">
      <selection activeCell="B4" sqref="B4:T18"/>
    </sheetView>
  </sheetViews>
  <sheetFormatPr defaultRowHeight="15" x14ac:dyDescent="0.25"/>
  <cols>
    <col min="1" max="1" width="5.42578125" customWidth="1"/>
    <col min="2" max="2" width="6.7109375" customWidth="1"/>
    <col min="3" max="3" width="16.85546875" customWidth="1"/>
    <col min="4" max="4" width="16.7109375" customWidth="1"/>
    <col min="6" max="6" width="10.5703125" customWidth="1"/>
    <col min="7" max="7" width="10.5703125" hidden="1" customWidth="1"/>
    <col min="8" max="8" width="12.5703125" hidden="1" customWidth="1"/>
    <col min="9" max="11" width="17.85546875" hidden="1" customWidth="1"/>
    <col min="12" max="12" width="9.28515625" hidden="1" customWidth="1"/>
    <col min="13" max="13" width="10.5703125" hidden="1" customWidth="1"/>
    <col min="14" max="14" width="14.7109375" hidden="1" customWidth="1"/>
    <col min="15" max="16" width="12.5703125" hidden="1" customWidth="1"/>
    <col min="17" max="17" width="14.7109375" hidden="1" customWidth="1"/>
    <col min="18" max="18" width="17.85546875" bestFit="1" customWidth="1"/>
    <col min="19" max="19" width="10.28515625" hidden="1" customWidth="1"/>
    <col min="20" max="20" width="17.85546875" bestFit="1" customWidth="1"/>
  </cols>
  <sheetData>
    <row r="2" spans="1:20" x14ac:dyDescent="0.25">
      <c r="A2" s="101" t="s">
        <v>23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3"/>
    </row>
    <row r="3" spans="1:20" ht="25.5" x14ac:dyDescent="0.25">
      <c r="A3" s="81" t="s">
        <v>22</v>
      </c>
      <c r="B3" s="81" t="s">
        <v>0</v>
      </c>
      <c r="C3" s="81" t="s">
        <v>1</v>
      </c>
      <c r="D3" s="81" t="s">
        <v>12</v>
      </c>
      <c r="E3" s="81" t="s">
        <v>11</v>
      </c>
      <c r="F3" s="82" t="s">
        <v>2</v>
      </c>
      <c r="G3" s="82" t="s">
        <v>14</v>
      </c>
      <c r="H3" s="82" t="s">
        <v>15</v>
      </c>
      <c r="I3" s="82" t="s">
        <v>16</v>
      </c>
      <c r="J3" s="82" t="s">
        <v>17</v>
      </c>
      <c r="K3" s="82" t="s">
        <v>13</v>
      </c>
      <c r="L3" s="82" t="s">
        <v>3</v>
      </c>
      <c r="M3" s="82" t="s">
        <v>19</v>
      </c>
      <c r="N3" s="82" t="s">
        <v>4</v>
      </c>
      <c r="O3" s="82" t="s">
        <v>5</v>
      </c>
      <c r="P3" s="82" t="s">
        <v>6</v>
      </c>
      <c r="Q3" s="83" t="s">
        <v>7</v>
      </c>
      <c r="R3" s="82" t="s">
        <v>8</v>
      </c>
      <c r="S3" s="82" t="s">
        <v>9</v>
      </c>
      <c r="T3" s="82" t="s">
        <v>10</v>
      </c>
    </row>
    <row r="4" spans="1:20" ht="15.75" x14ac:dyDescent="0.25">
      <c r="A4" s="84">
        <v>61</v>
      </c>
      <c r="B4" s="85">
        <v>2702</v>
      </c>
      <c r="C4" s="93" t="s">
        <v>90</v>
      </c>
      <c r="D4" s="93" t="s">
        <v>91</v>
      </c>
      <c r="E4" s="93" t="s">
        <v>92</v>
      </c>
      <c r="F4" s="94">
        <v>9000</v>
      </c>
      <c r="G4" s="85"/>
      <c r="H4" s="85"/>
      <c r="I4" s="86">
        <f t="shared" ref="I4:I7" si="0">F4/31*G4</f>
        <v>0</v>
      </c>
      <c r="J4" s="86">
        <f t="shared" ref="J4:J7" si="1">F4/31/8*H4</f>
        <v>0</v>
      </c>
      <c r="K4" s="86">
        <v>9000</v>
      </c>
      <c r="L4" s="95">
        <v>5</v>
      </c>
      <c r="M4" s="95">
        <v>0</v>
      </c>
      <c r="N4" s="95">
        <v>0</v>
      </c>
      <c r="O4" s="95">
        <v>0</v>
      </c>
      <c r="P4" s="95">
        <v>114</v>
      </c>
      <c r="Q4" s="96"/>
      <c r="R4" s="91">
        <f t="shared" ref="R4:R7" si="2">K4</f>
        <v>9000</v>
      </c>
      <c r="S4" s="86">
        <f t="shared" ref="S4:S7" si="3">L4+M4+N4+O4+P4+Q4</f>
        <v>119</v>
      </c>
      <c r="T4" s="86">
        <f t="shared" ref="T4:T7" si="4">R4-S4</f>
        <v>8881</v>
      </c>
    </row>
    <row r="5" spans="1:20" ht="15.75" x14ac:dyDescent="0.25">
      <c r="A5" s="84">
        <v>62</v>
      </c>
      <c r="B5" s="85">
        <v>2913</v>
      </c>
      <c r="C5" s="93" t="s">
        <v>107</v>
      </c>
      <c r="D5" s="93" t="s">
        <v>108</v>
      </c>
      <c r="E5" s="93" t="s">
        <v>92</v>
      </c>
      <c r="F5" s="94">
        <v>9000</v>
      </c>
      <c r="G5" s="85">
        <v>27</v>
      </c>
      <c r="H5" s="85">
        <v>42</v>
      </c>
      <c r="I5" s="86">
        <f t="shared" si="0"/>
        <v>7838.7096774193542</v>
      </c>
      <c r="J5" s="86">
        <f t="shared" si="1"/>
        <v>1524.1935483870968</v>
      </c>
      <c r="K5" s="86">
        <v>15330</v>
      </c>
      <c r="L5" s="95">
        <v>5</v>
      </c>
      <c r="M5" s="95">
        <v>0</v>
      </c>
      <c r="N5" s="95">
        <v>2500</v>
      </c>
      <c r="O5" s="95">
        <v>0</v>
      </c>
      <c r="P5" s="95">
        <v>99</v>
      </c>
      <c r="Q5" s="87"/>
      <c r="R5" s="91">
        <f t="shared" si="2"/>
        <v>15330</v>
      </c>
      <c r="S5" s="86">
        <f t="shared" si="3"/>
        <v>2604</v>
      </c>
      <c r="T5" s="86">
        <f t="shared" si="4"/>
        <v>12726</v>
      </c>
    </row>
    <row r="6" spans="1:20" ht="15.75" x14ac:dyDescent="0.25">
      <c r="A6" s="84">
        <v>63</v>
      </c>
      <c r="B6" s="85">
        <v>3359</v>
      </c>
      <c r="C6" s="93" t="s">
        <v>135</v>
      </c>
      <c r="D6" s="93" t="s">
        <v>136</v>
      </c>
      <c r="E6" s="93" t="s">
        <v>92</v>
      </c>
      <c r="F6" s="94">
        <v>9500</v>
      </c>
      <c r="G6" s="85">
        <v>20</v>
      </c>
      <c r="H6" s="85">
        <v>33</v>
      </c>
      <c r="I6" s="86">
        <f t="shared" si="0"/>
        <v>6129.0322580645161</v>
      </c>
      <c r="J6" s="86">
        <f t="shared" si="1"/>
        <v>1264.1129032258063</v>
      </c>
      <c r="K6" s="86">
        <v>20300</v>
      </c>
      <c r="L6" s="95">
        <v>5</v>
      </c>
      <c r="M6" s="95">
        <v>0</v>
      </c>
      <c r="N6" s="95">
        <v>2000</v>
      </c>
      <c r="O6" s="95">
        <v>0</v>
      </c>
      <c r="P6" s="95">
        <v>77</v>
      </c>
      <c r="Q6" s="87"/>
      <c r="R6" s="91">
        <f t="shared" si="2"/>
        <v>20300</v>
      </c>
      <c r="S6" s="86">
        <f t="shared" si="3"/>
        <v>2082</v>
      </c>
      <c r="T6" s="86">
        <f t="shared" si="4"/>
        <v>18218</v>
      </c>
    </row>
    <row r="7" spans="1:20" ht="15.75" x14ac:dyDescent="0.25">
      <c r="A7" s="84">
        <v>64</v>
      </c>
      <c r="B7" s="85">
        <v>3433</v>
      </c>
      <c r="C7" s="93" t="s">
        <v>148</v>
      </c>
      <c r="D7" s="93" t="s">
        <v>149</v>
      </c>
      <c r="E7" s="93" t="s">
        <v>92</v>
      </c>
      <c r="F7" s="94">
        <v>9500</v>
      </c>
      <c r="G7" s="85"/>
      <c r="H7" s="85"/>
      <c r="I7" s="86">
        <f t="shared" si="0"/>
        <v>0</v>
      </c>
      <c r="J7" s="86">
        <f t="shared" si="1"/>
        <v>0</v>
      </c>
      <c r="K7" s="86">
        <v>12990</v>
      </c>
      <c r="L7" s="95">
        <v>5</v>
      </c>
      <c r="M7" s="95">
        <v>0</v>
      </c>
      <c r="N7" s="95">
        <v>2000</v>
      </c>
      <c r="O7" s="95">
        <v>0</v>
      </c>
      <c r="P7" s="95">
        <v>99</v>
      </c>
      <c r="Q7" s="87"/>
      <c r="R7" s="91">
        <f t="shared" si="2"/>
        <v>12990</v>
      </c>
      <c r="S7" s="86">
        <f t="shared" si="3"/>
        <v>2104</v>
      </c>
      <c r="T7" s="86">
        <f t="shared" si="4"/>
        <v>10886</v>
      </c>
    </row>
    <row r="8" spans="1:20" ht="15.75" x14ac:dyDescent="0.25">
      <c r="A8" s="84">
        <v>65</v>
      </c>
      <c r="B8" s="85">
        <v>3436</v>
      </c>
      <c r="C8" s="93" t="s">
        <v>150</v>
      </c>
      <c r="D8" s="93" t="s">
        <v>151</v>
      </c>
      <c r="E8" s="93" t="s">
        <v>92</v>
      </c>
      <c r="F8" s="94">
        <v>9500</v>
      </c>
      <c r="G8" s="85"/>
      <c r="H8" s="85"/>
      <c r="I8" s="86">
        <f t="shared" ref="I8:I17" si="5">F8/31*G8</f>
        <v>0</v>
      </c>
      <c r="J8" s="86">
        <f t="shared" ref="J8:J17" si="6">F8/31/8*H8</f>
        <v>0</v>
      </c>
      <c r="K8" s="86">
        <v>20150</v>
      </c>
      <c r="L8" s="95">
        <v>5</v>
      </c>
      <c r="M8" s="95">
        <v>0</v>
      </c>
      <c r="N8" s="95">
        <v>2500</v>
      </c>
      <c r="O8" s="95">
        <v>0</v>
      </c>
      <c r="P8" s="95">
        <v>99</v>
      </c>
      <c r="Q8" s="87"/>
      <c r="R8" s="91">
        <f t="shared" ref="R8:R17" si="7">K8</f>
        <v>20150</v>
      </c>
      <c r="S8" s="86">
        <f t="shared" ref="S8:S17" si="8">L8+M8+N8+O8+P8+Q8</f>
        <v>2604</v>
      </c>
      <c r="T8" s="86">
        <f t="shared" ref="T8:T17" si="9">R8-S8</f>
        <v>17546</v>
      </c>
    </row>
    <row r="9" spans="1:20" ht="15.75" x14ac:dyDescent="0.25">
      <c r="A9" s="84">
        <v>66</v>
      </c>
      <c r="B9" s="85">
        <v>3659</v>
      </c>
      <c r="C9" s="93" t="s">
        <v>182</v>
      </c>
      <c r="D9" s="93" t="s">
        <v>183</v>
      </c>
      <c r="E9" s="93" t="s">
        <v>92</v>
      </c>
      <c r="F9" s="94">
        <v>9500</v>
      </c>
      <c r="G9" s="85"/>
      <c r="H9" s="85"/>
      <c r="I9" s="86">
        <f t="shared" si="5"/>
        <v>0</v>
      </c>
      <c r="J9" s="86">
        <f t="shared" si="6"/>
        <v>0</v>
      </c>
      <c r="K9" s="86">
        <v>25000</v>
      </c>
      <c r="L9" s="95">
        <v>5</v>
      </c>
      <c r="M9" s="95">
        <v>0</v>
      </c>
      <c r="N9" s="95">
        <v>2000</v>
      </c>
      <c r="O9" s="95">
        <v>0</v>
      </c>
      <c r="P9" s="95">
        <v>92</v>
      </c>
      <c r="Q9" s="87"/>
      <c r="R9" s="91">
        <f t="shared" si="7"/>
        <v>25000</v>
      </c>
      <c r="S9" s="86">
        <f t="shared" si="8"/>
        <v>2097</v>
      </c>
      <c r="T9" s="86">
        <f t="shared" si="9"/>
        <v>22903</v>
      </c>
    </row>
    <row r="10" spans="1:20" ht="15.75" x14ac:dyDescent="0.25">
      <c r="A10" s="84">
        <v>67</v>
      </c>
      <c r="B10" s="85">
        <v>3685</v>
      </c>
      <c r="C10" s="93" t="s">
        <v>193</v>
      </c>
      <c r="D10" s="93" t="s">
        <v>194</v>
      </c>
      <c r="E10" s="93" t="s">
        <v>92</v>
      </c>
      <c r="F10" s="94">
        <v>9500</v>
      </c>
      <c r="G10" s="85"/>
      <c r="H10" s="85"/>
      <c r="I10" s="86">
        <f t="shared" si="5"/>
        <v>0</v>
      </c>
      <c r="J10" s="86">
        <f t="shared" si="6"/>
        <v>0</v>
      </c>
      <c r="K10" s="86">
        <v>20000</v>
      </c>
      <c r="L10" s="95">
        <v>5</v>
      </c>
      <c r="M10" s="95">
        <v>0</v>
      </c>
      <c r="N10" s="95">
        <v>2500</v>
      </c>
      <c r="O10" s="95">
        <v>0</v>
      </c>
      <c r="P10" s="95">
        <v>103</v>
      </c>
      <c r="Q10" s="87"/>
      <c r="R10" s="91">
        <f t="shared" si="7"/>
        <v>20000</v>
      </c>
      <c r="S10" s="86">
        <f t="shared" si="8"/>
        <v>2608</v>
      </c>
      <c r="T10" s="86">
        <f t="shared" si="9"/>
        <v>17392</v>
      </c>
    </row>
    <row r="11" spans="1:20" ht="15.75" x14ac:dyDescent="0.25">
      <c r="A11" s="84">
        <v>68</v>
      </c>
      <c r="B11" s="85">
        <v>3729</v>
      </c>
      <c r="C11" s="93" t="s">
        <v>201</v>
      </c>
      <c r="D11" s="93" t="s">
        <v>202</v>
      </c>
      <c r="E11" s="93" t="s">
        <v>92</v>
      </c>
      <c r="F11" s="94">
        <v>9500</v>
      </c>
      <c r="G11" s="85"/>
      <c r="H11" s="85"/>
      <c r="I11" s="86">
        <f t="shared" si="5"/>
        <v>0</v>
      </c>
      <c r="J11" s="86">
        <f t="shared" si="6"/>
        <v>0</v>
      </c>
      <c r="K11" s="86">
        <v>20650</v>
      </c>
      <c r="L11" s="95">
        <v>5</v>
      </c>
      <c r="M11" s="95">
        <v>0</v>
      </c>
      <c r="N11" s="95">
        <v>2500</v>
      </c>
      <c r="O11" s="95">
        <v>0</v>
      </c>
      <c r="P11" s="95">
        <v>95</v>
      </c>
      <c r="Q11" s="87"/>
      <c r="R11" s="91">
        <f t="shared" si="7"/>
        <v>20650</v>
      </c>
      <c r="S11" s="86">
        <f t="shared" si="8"/>
        <v>2600</v>
      </c>
      <c r="T11" s="86">
        <f t="shared" si="9"/>
        <v>18050</v>
      </c>
    </row>
    <row r="12" spans="1:20" ht="15.75" x14ac:dyDescent="0.25">
      <c r="A12" s="84">
        <v>69</v>
      </c>
      <c r="B12" s="85">
        <v>3910</v>
      </c>
      <c r="C12" s="93" t="s">
        <v>252</v>
      </c>
      <c r="D12" s="93" t="s">
        <v>253</v>
      </c>
      <c r="E12" s="93" t="s">
        <v>92</v>
      </c>
      <c r="F12" s="94">
        <v>9500</v>
      </c>
      <c r="G12" s="85"/>
      <c r="H12" s="85"/>
      <c r="I12" s="86">
        <f t="shared" si="5"/>
        <v>0</v>
      </c>
      <c r="J12" s="86">
        <f t="shared" si="6"/>
        <v>0</v>
      </c>
      <c r="K12" s="86">
        <v>25000</v>
      </c>
      <c r="L12" s="95">
        <v>5</v>
      </c>
      <c r="M12" s="95">
        <v>0</v>
      </c>
      <c r="N12" s="95">
        <v>2500</v>
      </c>
      <c r="O12" s="95">
        <v>0</v>
      </c>
      <c r="P12" s="95">
        <v>110</v>
      </c>
      <c r="Q12" s="87"/>
      <c r="R12" s="91">
        <f t="shared" si="7"/>
        <v>25000</v>
      </c>
      <c r="S12" s="86">
        <f t="shared" si="8"/>
        <v>2615</v>
      </c>
      <c r="T12" s="86">
        <f t="shared" si="9"/>
        <v>22385</v>
      </c>
    </row>
    <row r="13" spans="1:20" ht="15.75" x14ac:dyDescent="0.25">
      <c r="A13" s="84">
        <v>70</v>
      </c>
      <c r="B13" s="85">
        <v>3945</v>
      </c>
      <c r="C13" s="93" t="s">
        <v>275</v>
      </c>
      <c r="D13" s="93" t="s">
        <v>276</v>
      </c>
      <c r="E13" s="93" t="s">
        <v>92</v>
      </c>
      <c r="F13" s="94">
        <v>9500</v>
      </c>
      <c r="G13" s="85"/>
      <c r="H13" s="85"/>
      <c r="I13" s="86">
        <f t="shared" si="5"/>
        <v>0</v>
      </c>
      <c r="J13" s="86">
        <f t="shared" si="6"/>
        <v>0</v>
      </c>
      <c r="K13" s="86">
        <v>11250</v>
      </c>
      <c r="L13" s="95">
        <v>5</v>
      </c>
      <c r="M13" s="95">
        <v>0</v>
      </c>
      <c r="N13" s="95">
        <v>1500</v>
      </c>
      <c r="O13" s="95">
        <v>0</v>
      </c>
      <c r="P13" s="95">
        <v>99</v>
      </c>
      <c r="Q13" s="87"/>
      <c r="R13" s="91">
        <f t="shared" si="7"/>
        <v>11250</v>
      </c>
      <c r="S13" s="86">
        <f t="shared" si="8"/>
        <v>1604</v>
      </c>
      <c r="T13" s="86">
        <f t="shared" si="9"/>
        <v>9646</v>
      </c>
    </row>
    <row r="14" spans="1:20" ht="15.75" x14ac:dyDescent="0.25">
      <c r="A14" s="84">
        <v>71</v>
      </c>
      <c r="B14" s="85">
        <v>3948</v>
      </c>
      <c r="C14" s="93" t="s">
        <v>279</v>
      </c>
      <c r="D14" s="93" t="s">
        <v>280</v>
      </c>
      <c r="E14" s="93" t="s">
        <v>92</v>
      </c>
      <c r="F14" s="94">
        <v>9500</v>
      </c>
      <c r="G14" s="85"/>
      <c r="H14" s="85"/>
      <c r="I14" s="86">
        <f t="shared" si="5"/>
        <v>0</v>
      </c>
      <c r="J14" s="86">
        <f t="shared" si="6"/>
        <v>0</v>
      </c>
      <c r="K14" s="86">
        <v>25000</v>
      </c>
      <c r="L14" s="95">
        <v>5</v>
      </c>
      <c r="M14" s="95">
        <v>0</v>
      </c>
      <c r="N14" s="95">
        <v>2000</v>
      </c>
      <c r="O14" s="95">
        <v>0</v>
      </c>
      <c r="P14" s="95">
        <v>103</v>
      </c>
      <c r="Q14" s="87"/>
      <c r="R14" s="91">
        <f t="shared" si="7"/>
        <v>25000</v>
      </c>
      <c r="S14" s="86">
        <f t="shared" si="8"/>
        <v>2108</v>
      </c>
      <c r="T14" s="86">
        <f t="shared" si="9"/>
        <v>22892</v>
      </c>
    </row>
    <row r="15" spans="1:20" ht="15.75" x14ac:dyDescent="0.25">
      <c r="A15" s="84">
        <v>72</v>
      </c>
      <c r="B15" s="85">
        <v>4017</v>
      </c>
      <c r="C15" s="93" t="s">
        <v>331</v>
      </c>
      <c r="D15" s="93" t="s">
        <v>332</v>
      </c>
      <c r="E15" s="93" t="s">
        <v>92</v>
      </c>
      <c r="F15" s="94">
        <v>9500</v>
      </c>
      <c r="G15" s="85"/>
      <c r="H15" s="85"/>
      <c r="I15" s="86">
        <f t="shared" si="5"/>
        <v>0</v>
      </c>
      <c r="J15" s="86">
        <f t="shared" si="6"/>
        <v>0</v>
      </c>
      <c r="K15" s="86">
        <v>11350</v>
      </c>
      <c r="L15" s="95">
        <v>5</v>
      </c>
      <c r="M15" s="95">
        <v>0</v>
      </c>
      <c r="N15" s="95">
        <v>0</v>
      </c>
      <c r="O15" s="95">
        <v>0</v>
      </c>
      <c r="P15" s="95">
        <v>95</v>
      </c>
      <c r="Q15" s="87"/>
      <c r="R15" s="91">
        <f t="shared" si="7"/>
        <v>11350</v>
      </c>
      <c r="S15" s="86">
        <f t="shared" si="8"/>
        <v>100</v>
      </c>
      <c r="T15" s="86">
        <f t="shared" si="9"/>
        <v>11250</v>
      </c>
    </row>
    <row r="16" spans="1:20" ht="15.75" x14ac:dyDescent="0.25">
      <c r="A16" s="84">
        <v>73</v>
      </c>
      <c r="B16" s="85">
        <v>4019</v>
      </c>
      <c r="C16" s="93" t="s">
        <v>335</v>
      </c>
      <c r="D16" s="93" t="s">
        <v>336</v>
      </c>
      <c r="E16" s="93" t="s">
        <v>92</v>
      </c>
      <c r="F16" s="94">
        <v>9500</v>
      </c>
      <c r="G16" s="85"/>
      <c r="H16" s="85"/>
      <c r="I16" s="86">
        <f t="shared" si="5"/>
        <v>0</v>
      </c>
      <c r="J16" s="86">
        <f t="shared" si="6"/>
        <v>0</v>
      </c>
      <c r="K16" s="86">
        <v>23200</v>
      </c>
      <c r="L16" s="95">
        <v>5</v>
      </c>
      <c r="M16" s="95">
        <v>0</v>
      </c>
      <c r="N16" s="95">
        <v>2500</v>
      </c>
      <c r="O16" s="95">
        <v>0</v>
      </c>
      <c r="P16" s="95">
        <v>114</v>
      </c>
      <c r="Q16" s="87"/>
      <c r="R16" s="91">
        <f t="shared" si="7"/>
        <v>23200</v>
      </c>
      <c r="S16" s="86">
        <f t="shared" si="8"/>
        <v>2619</v>
      </c>
      <c r="T16" s="86">
        <f t="shared" si="9"/>
        <v>20581</v>
      </c>
    </row>
    <row r="17" spans="1:20" ht="15.75" x14ac:dyDescent="0.25">
      <c r="A17" s="84">
        <v>74</v>
      </c>
      <c r="B17" s="85">
        <v>4049</v>
      </c>
      <c r="C17" s="93" t="s">
        <v>384</v>
      </c>
      <c r="D17" s="93" t="s">
        <v>385</v>
      </c>
      <c r="E17" s="93" t="s">
        <v>92</v>
      </c>
      <c r="F17" s="94">
        <v>9500</v>
      </c>
      <c r="G17" s="85"/>
      <c r="H17" s="85"/>
      <c r="I17" s="86">
        <f t="shared" si="5"/>
        <v>0</v>
      </c>
      <c r="J17" s="86">
        <f t="shared" si="6"/>
        <v>0</v>
      </c>
      <c r="K17" s="86">
        <v>25800</v>
      </c>
      <c r="L17" s="95">
        <v>5</v>
      </c>
      <c r="M17" s="95">
        <v>0</v>
      </c>
      <c r="N17" s="95">
        <v>2500</v>
      </c>
      <c r="O17" s="95">
        <v>0</v>
      </c>
      <c r="P17" s="95">
        <v>70</v>
      </c>
      <c r="Q17" s="87"/>
      <c r="R17" s="91">
        <f t="shared" si="7"/>
        <v>25800</v>
      </c>
      <c r="S17" s="86">
        <f t="shared" si="8"/>
        <v>2575</v>
      </c>
      <c r="T17" s="86">
        <f t="shared" si="9"/>
        <v>23225</v>
      </c>
    </row>
    <row r="18" spans="1:20" ht="15.75" x14ac:dyDescent="0.25">
      <c r="A18" s="88"/>
      <c r="B18" s="97"/>
      <c r="C18" s="98"/>
      <c r="D18" s="98"/>
      <c r="E18" s="98"/>
      <c r="F18" s="99">
        <f t="shared" ref="F18:T18" si="10">SUM(F4:F17)</f>
        <v>132000</v>
      </c>
      <c r="G18" s="99">
        <f t="shared" si="10"/>
        <v>47</v>
      </c>
      <c r="H18" s="99">
        <f t="shared" si="10"/>
        <v>75</v>
      </c>
      <c r="I18" s="99">
        <f t="shared" si="10"/>
        <v>13967.741935483871</v>
      </c>
      <c r="J18" s="99">
        <f t="shared" si="10"/>
        <v>2788.3064516129034</v>
      </c>
      <c r="K18" s="99">
        <f t="shared" si="10"/>
        <v>265020</v>
      </c>
      <c r="L18" s="99">
        <f t="shared" si="10"/>
        <v>70</v>
      </c>
      <c r="M18" s="99">
        <f t="shared" si="10"/>
        <v>0</v>
      </c>
      <c r="N18" s="99">
        <f t="shared" si="10"/>
        <v>27000</v>
      </c>
      <c r="O18" s="99">
        <f t="shared" si="10"/>
        <v>0</v>
      </c>
      <c r="P18" s="99">
        <f t="shared" si="10"/>
        <v>1369</v>
      </c>
      <c r="Q18" s="99">
        <f t="shared" si="10"/>
        <v>0</v>
      </c>
      <c r="R18" s="100">
        <f t="shared" si="10"/>
        <v>265020</v>
      </c>
      <c r="S18" s="99">
        <f t="shared" si="10"/>
        <v>28439</v>
      </c>
      <c r="T18" s="99">
        <f t="shared" si="10"/>
        <v>236581</v>
      </c>
    </row>
    <row r="19" spans="1:20" ht="15.75" x14ac:dyDescent="0.25">
      <c r="A19" s="88"/>
      <c r="B19" s="89"/>
      <c r="C19" s="89"/>
      <c r="D19" s="89"/>
      <c r="E19" s="89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2"/>
      <c r="S19" s="90"/>
      <c r="T19" s="90"/>
    </row>
  </sheetData>
  <mergeCells count="1">
    <mergeCell ref="A2:T2"/>
  </mergeCells>
  <pageMargins left="0.7" right="0.7" top="0.75" bottom="0.75" header="0.3" footer="0.3"/>
  <pageSetup paperSize="9" scale="12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7"/>
  <sheetViews>
    <sheetView tabSelected="1" zoomScale="40" zoomScaleNormal="40" zoomScaleSheetLayoutView="25" workbookViewId="0">
      <pane ySplit="3" topLeftCell="A4" activePane="bottomLeft" state="frozen"/>
      <selection pane="bottomLeft" activeCell="A2" sqref="A2:T2"/>
    </sheetView>
  </sheetViews>
  <sheetFormatPr defaultRowHeight="11.25" x14ac:dyDescent="0.15"/>
  <cols>
    <col min="1" max="1" width="10.85546875" style="2" bestFit="1" customWidth="1"/>
    <col min="2" max="2" width="13.7109375" style="1" bestFit="1" customWidth="1"/>
    <col min="3" max="3" width="61.28515625" style="1" customWidth="1"/>
    <col min="4" max="4" width="53" style="1" bestFit="1" customWidth="1"/>
    <col min="5" max="5" width="49.85546875" style="1" bestFit="1" customWidth="1"/>
    <col min="6" max="6" width="29.42578125" style="3" bestFit="1" customWidth="1"/>
    <col min="7" max="7" width="18.85546875" style="3" customWidth="1"/>
    <col min="8" max="8" width="16.140625" style="3" customWidth="1"/>
    <col min="9" max="9" width="26.85546875" style="3" bestFit="1" customWidth="1"/>
    <col min="10" max="11" width="26.28515625" style="3" bestFit="1" customWidth="1"/>
    <col min="12" max="17" width="18.85546875" style="3" customWidth="1"/>
    <col min="18" max="18" width="26.28515625" style="3" bestFit="1" customWidth="1"/>
    <col min="19" max="19" width="28" style="3" bestFit="1" customWidth="1"/>
    <col min="20" max="20" width="26.28515625" style="3" bestFit="1" customWidth="1"/>
    <col min="21" max="259" width="9.140625" style="1" customWidth="1"/>
    <col min="260" max="16384" width="9.140625" style="1"/>
  </cols>
  <sheetData>
    <row r="1" spans="1:20" s="6" customFormat="1" ht="60" customHeight="1" x14ac:dyDescent="0.15">
      <c r="A1" s="104" t="s">
        <v>23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6"/>
    </row>
    <row r="2" spans="1:20" ht="68.25" customHeight="1" x14ac:dyDescent="0.15">
      <c r="A2" s="117" t="s">
        <v>22</v>
      </c>
      <c r="B2" s="117" t="s">
        <v>0</v>
      </c>
      <c r="C2" s="117" t="s">
        <v>1</v>
      </c>
      <c r="D2" s="117" t="s">
        <v>12</v>
      </c>
      <c r="E2" s="117" t="s">
        <v>11</v>
      </c>
      <c r="F2" s="118" t="s">
        <v>2</v>
      </c>
      <c r="G2" s="118" t="s">
        <v>14</v>
      </c>
      <c r="H2" s="118" t="s">
        <v>15</v>
      </c>
      <c r="I2" s="118" t="s">
        <v>16</v>
      </c>
      <c r="J2" s="118" t="s">
        <v>17</v>
      </c>
      <c r="K2" s="118" t="s">
        <v>13</v>
      </c>
      <c r="L2" s="118" t="s">
        <v>3</v>
      </c>
      <c r="M2" s="118" t="s">
        <v>19</v>
      </c>
      <c r="N2" s="118" t="s">
        <v>4</v>
      </c>
      <c r="O2" s="118" t="s">
        <v>5</v>
      </c>
      <c r="P2" s="118" t="s">
        <v>6</v>
      </c>
      <c r="Q2" s="119" t="s">
        <v>7</v>
      </c>
      <c r="R2" s="118" t="s">
        <v>8</v>
      </c>
      <c r="S2" s="118" t="s">
        <v>9</v>
      </c>
      <c r="T2" s="118" t="s">
        <v>10</v>
      </c>
    </row>
    <row r="3" spans="1:20" s="2" customFormat="1" ht="54.75" customHeight="1" x14ac:dyDescent="0.5">
      <c r="A3" s="120">
        <v>1</v>
      </c>
      <c r="B3" s="121">
        <v>2</v>
      </c>
      <c r="C3" s="122" t="s">
        <v>24</v>
      </c>
      <c r="D3" s="122" t="s">
        <v>25</v>
      </c>
      <c r="E3" s="122" t="s">
        <v>26</v>
      </c>
      <c r="F3" s="123">
        <v>375000</v>
      </c>
      <c r="G3" s="124">
        <v>31</v>
      </c>
      <c r="H3" s="125"/>
      <c r="I3" s="126">
        <f t="shared" ref="I3:I64" si="0">F3/31*G3</f>
        <v>375000</v>
      </c>
      <c r="J3" s="126">
        <f t="shared" ref="J3:J64" si="1">F3/31/8*H3</f>
        <v>0</v>
      </c>
      <c r="K3" s="126">
        <f t="shared" ref="K3:K34" si="2">I3+J3</f>
        <v>375000</v>
      </c>
      <c r="L3" s="127">
        <v>5</v>
      </c>
      <c r="M3" s="127">
        <v>200</v>
      </c>
      <c r="N3" s="127">
        <v>0</v>
      </c>
      <c r="O3" s="127">
        <v>1800</v>
      </c>
      <c r="P3" s="127">
        <v>0</v>
      </c>
      <c r="Q3" s="128">
        <v>84240</v>
      </c>
      <c r="R3" s="126">
        <f t="shared" ref="R3:R34" si="3">K3</f>
        <v>375000</v>
      </c>
      <c r="S3" s="126">
        <f t="shared" ref="S3:S34" si="4">L3+M3+N3+O3+P3+Q3</f>
        <v>86245</v>
      </c>
      <c r="T3" s="126">
        <f t="shared" ref="T3:T34" si="5">R3-S3</f>
        <v>288755</v>
      </c>
    </row>
    <row r="4" spans="1:20" ht="54.75" customHeight="1" x14ac:dyDescent="0.5">
      <c r="A4" s="120">
        <v>2</v>
      </c>
      <c r="B4" s="121">
        <v>9</v>
      </c>
      <c r="C4" s="122" t="s">
        <v>27</v>
      </c>
      <c r="D4" s="122" t="s">
        <v>28</v>
      </c>
      <c r="E4" s="122" t="s">
        <v>26</v>
      </c>
      <c r="F4" s="123">
        <v>17000</v>
      </c>
      <c r="G4" s="124">
        <v>31</v>
      </c>
      <c r="H4" s="125"/>
      <c r="I4" s="126">
        <f t="shared" si="0"/>
        <v>17000</v>
      </c>
      <c r="J4" s="126">
        <f t="shared" si="1"/>
        <v>0</v>
      </c>
      <c r="K4" s="126">
        <f t="shared" si="2"/>
        <v>17000</v>
      </c>
      <c r="L4" s="127">
        <v>5</v>
      </c>
      <c r="M4" s="127">
        <v>0</v>
      </c>
      <c r="N4" s="127">
        <v>0</v>
      </c>
      <c r="O4" s="127">
        <v>1710</v>
      </c>
      <c r="P4" s="127">
        <v>107</v>
      </c>
      <c r="Q4" s="129"/>
      <c r="R4" s="126">
        <f t="shared" si="3"/>
        <v>17000</v>
      </c>
      <c r="S4" s="126">
        <f t="shared" si="4"/>
        <v>1822</v>
      </c>
      <c r="T4" s="126">
        <f t="shared" si="5"/>
        <v>15178</v>
      </c>
    </row>
    <row r="5" spans="1:20" ht="54.75" customHeight="1" x14ac:dyDescent="0.5">
      <c r="A5" s="120">
        <v>3</v>
      </c>
      <c r="B5" s="121">
        <v>20</v>
      </c>
      <c r="C5" s="122" t="s">
        <v>29</v>
      </c>
      <c r="D5" s="122" t="s">
        <v>30</v>
      </c>
      <c r="E5" s="122" t="s">
        <v>26</v>
      </c>
      <c r="F5" s="123">
        <v>18000</v>
      </c>
      <c r="G5" s="124">
        <v>31</v>
      </c>
      <c r="H5" s="125"/>
      <c r="I5" s="126">
        <f t="shared" si="0"/>
        <v>18000</v>
      </c>
      <c r="J5" s="126">
        <f t="shared" si="1"/>
        <v>0</v>
      </c>
      <c r="K5" s="126">
        <f t="shared" si="2"/>
        <v>18000</v>
      </c>
      <c r="L5" s="127">
        <v>5</v>
      </c>
      <c r="M5" s="127">
        <v>0</v>
      </c>
      <c r="N5" s="127">
        <v>0</v>
      </c>
      <c r="O5" s="127">
        <v>0</v>
      </c>
      <c r="P5" s="127">
        <v>0</v>
      </c>
      <c r="Q5" s="129"/>
      <c r="R5" s="126">
        <f t="shared" si="3"/>
        <v>18000</v>
      </c>
      <c r="S5" s="126">
        <f t="shared" si="4"/>
        <v>5</v>
      </c>
      <c r="T5" s="126">
        <f t="shared" si="5"/>
        <v>17995</v>
      </c>
    </row>
    <row r="6" spans="1:20" ht="54.75" customHeight="1" x14ac:dyDescent="0.5">
      <c r="A6" s="120">
        <v>4</v>
      </c>
      <c r="B6" s="121">
        <v>26</v>
      </c>
      <c r="C6" s="122" t="s">
        <v>31</v>
      </c>
      <c r="D6" s="122" t="s">
        <v>32</v>
      </c>
      <c r="E6" s="122" t="s">
        <v>26</v>
      </c>
      <c r="F6" s="123">
        <v>20800</v>
      </c>
      <c r="G6" s="124">
        <v>23.5</v>
      </c>
      <c r="H6" s="125"/>
      <c r="I6" s="126">
        <f t="shared" si="0"/>
        <v>15767.741935483871</v>
      </c>
      <c r="J6" s="126">
        <f t="shared" si="1"/>
        <v>0</v>
      </c>
      <c r="K6" s="126">
        <f t="shared" si="2"/>
        <v>15767.741935483871</v>
      </c>
      <c r="L6" s="127">
        <v>5</v>
      </c>
      <c r="M6" s="127">
        <v>0</v>
      </c>
      <c r="N6" s="127">
        <v>0</v>
      </c>
      <c r="O6" s="127">
        <v>1479</v>
      </c>
      <c r="P6" s="127">
        <v>93</v>
      </c>
      <c r="Q6" s="129"/>
      <c r="R6" s="126">
        <f t="shared" si="3"/>
        <v>15767.741935483871</v>
      </c>
      <c r="S6" s="126">
        <f t="shared" si="4"/>
        <v>1577</v>
      </c>
      <c r="T6" s="126">
        <f t="shared" si="5"/>
        <v>14190.741935483871</v>
      </c>
    </row>
    <row r="7" spans="1:20" ht="54.75" customHeight="1" x14ac:dyDescent="0.5">
      <c r="A7" s="120">
        <v>5</v>
      </c>
      <c r="B7" s="121">
        <v>981</v>
      </c>
      <c r="C7" s="122" t="s">
        <v>42</v>
      </c>
      <c r="D7" s="122" t="s">
        <v>43</v>
      </c>
      <c r="E7" s="122" t="s">
        <v>26</v>
      </c>
      <c r="F7" s="123">
        <v>20975</v>
      </c>
      <c r="G7" s="124">
        <v>31</v>
      </c>
      <c r="H7" s="125"/>
      <c r="I7" s="126">
        <f t="shared" si="0"/>
        <v>20975</v>
      </c>
      <c r="J7" s="126">
        <f t="shared" si="1"/>
        <v>0</v>
      </c>
      <c r="K7" s="126">
        <f t="shared" si="2"/>
        <v>20975</v>
      </c>
      <c r="L7" s="127">
        <v>5</v>
      </c>
      <c r="M7" s="127">
        <v>200</v>
      </c>
      <c r="N7" s="127">
        <v>0</v>
      </c>
      <c r="O7" s="127">
        <v>0</v>
      </c>
      <c r="P7" s="127">
        <v>118</v>
      </c>
      <c r="Q7" s="129"/>
      <c r="R7" s="126">
        <f t="shared" si="3"/>
        <v>20975</v>
      </c>
      <c r="S7" s="126">
        <f t="shared" si="4"/>
        <v>323</v>
      </c>
      <c r="T7" s="126">
        <f t="shared" si="5"/>
        <v>20652</v>
      </c>
    </row>
    <row r="8" spans="1:20" ht="54.75" customHeight="1" x14ac:dyDescent="0.5">
      <c r="A8" s="120">
        <v>6</v>
      </c>
      <c r="B8" s="121">
        <v>1148</v>
      </c>
      <c r="C8" s="122" t="s">
        <v>44</v>
      </c>
      <c r="D8" s="122" t="s">
        <v>45</v>
      </c>
      <c r="E8" s="122" t="s">
        <v>26</v>
      </c>
      <c r="F8" s="123">
        <v>56000</v>
      </c>
      <c r="G8" s="124">
        <v>31</v>
      </c>
      <c r="H8" s="125"/>
      <c r="I8" s="126">
        <f t="shared" si="0"/>
        <v>56000</v>
      </c>
      <c r="J8" s="126">
        <f t="shared" si="1"/>
        <v>0</v>
      </c>
      <c r="K8" s="126">
        <f t="shared" si="2"/>
        <v>56000</v>
      </c>
      <c r="L8" s="127">
        <v>5</v>
      </c>
      <c r="M8" s="127">
        <v>200</v>
      </c>
      <c r="N8" s="127">
        <v>0</v>
      </c>
      <c r="O8" s="127">
        <v>1800</v>
      </c>
      <c r="P8" s="127">
        <v>0</v>
      </c>
      <c r="Q8" s="129"/>
      <c r="R8" s="126">
        <f t="shared" si="3"/>
        <v>56000</v>
      </c>
      <c r="S8" s="126">
        <f t="shared" si="4"/>
        <v>2005</v>
      </c>
      <c r="T8" s="126">
        <f t="shared" si="5"/>
        <v>53995</v>
      </c>
    </row>
    <row r="9" spans="1:20" ht="54.75" customHeight="1" x14ac:dyDescent="0.5">
      <c r="A9" s="120">
        <v>7</v>
      </c>
      <c r="B9" s="121">
        <v>2552</v>
      </c>
      <c r="C9" s="122" t="s">
        <v>78</v>
      </c>
      <c r="D9" s="122" t="s">
        <v>79</v>
      </c>
      <c r="E9" s="122" t="s">
        <v>26</v>
      </c>
      <c r="F9" s="123">
        <v>20100</v>
      </c>
      <c r="G9" s="124">
        <v>31</v>
      </c>
      <c r="H9" s="125"/>
      <c r="I9" s="126">
        <f t="shared" si="0"/>
        <v>20100</v>
      </c>
      <c r="J9" s="126">
        <f t="shared" si="1"/>
        <v>0</v>
      </c>
      <c r="K9" s="126">
        <f t="shared" si="2"/>
        <v>20100</v>
      </c>
      <c r="L9" s="127">
        <v>5</v>
      </c>
      <c r="M9" s="127">
        <v>0</v>
      </c>
      <c r="N9" s="127">
        <v>0</v>
      </c>
      <c r="O9" s="127">
        <v>0</v>
      </c>
      <c r="P9" s="127">
        <v>114</v>
      </c>
      <c r="Q9" s="129"/>
      <c r="R9" s="126">
        <f t="shared" si="3"/>
        <v>20100</v>
      </c>
      <c r="S9" s="126">
        <f t="shared" si="4"/>
        <v>119</v>
      </c>
      <c r="T9" s="126">
        <f t="shared" si="5"/>
        <v>19981</v>
      </c>
    </row>
    <row r="10" spans="1:20" ht="54.75" customHeight="1" x14ac:dyDescent="0.5">
      <c r="A10" s="120">
        <v>8</v>
      </c>
      <c r="B10" s="121">
        <v>2746</v>
      </c>
      <c r="C10" s="122" t="s">
        <v>95</v>
      </c>
      <c r="D10" s="122" t="s">
        <v>96</v>
      </c>
      <c r="E10" s="122" t="s">
        <v>26</v>
      </c>
      <c r="F10" s="123">
        <v>32200</v>
      </c>
      <c r="G10" s="124">
        <v>31</v>
      </c>
      <c r="H10" s="124">
        <v>36.5</v>
      </c>
      <c r="I10" s="126">
        <f t="shared" si="0"/>
        <v>32200</v>
      </c>
      <c r="J10" s="126">
        <f t="shared" si="1"/>
        <v>4739.1129032258068</v>
      </c>
      <c r="K10" s="126">
        <f t="shared" si="2"/>
        <v>36939.112903225803</v>
      </c>
      <c r="L10" s="127">
        <v>5</v>
      </c>
      <c r="M10" s="127">
        <v>0</v>
      </c>
      <c r="N10" s="127">
        <v>0</v>
      </c>
      <c r="O10" s="127">
        <v>0</v>
      </c>
      <c r="P10" s="127">
        <v>0</v>
      </c>
      <c r="Q10" s="129"/>
      <c r="R10" s="126">
        <f t="shared" si="3"/>
        <v>36939.112903225803</v>
      </c>
      <c r="S10" s="126">
        <f t="shared" si="4"/>
        <v>5</v>
      </c>
      <c r="T10" s="126">
        <f t="shared" si="5"/>
        <v>36934.112903225803</v>
      </c>
    </row>
    <row r="11" spans="1:20" ht="54.75" customHeight="1" x14ac:dyDescent="0.5">
      <c r="A11" s="120">
        <v>9</v>
      </c>
      <c r="B11" s="121">
        <v>2799</v>
      </c>
      <c r="C11" s="122" t="s">
        <v>97</v>
      </c>
      <c r="D11" s="122" t="s">
        <v>98</v>
      </c>
      <c r="E11" s="122" t="s">
        <v>26</v>
      </c>
      <c r="F11" s="123">
        <v>10500</v>
      </c>
      <c r="G11" s="124">
        <v>31</v>
      </c>
      <c r="H11" s="125">
        <v>109.5</v>
      </c>
      <c r="I11" s="126">
        <f t="shared" si="0"/>
        <v>10500</v>
      </c>
      <c r="J11" s="126">
        <f t="shared" si="1"/>
        <v>4636.0887096774195</v>
      </c>
      <c r="K11" s="126">
        <f t="shared" si="2"/>
        <v>15136.08870967742</v>
      </c>
      <c r="L11" s="127">
        <v>5</v>
      </c>
      <c r="M11" s="127">
        <v>0</v>
      </c>
      <c r="N11" s="127">
        <v>2500</v>
      </c>
      <c r="O11" s="127">
        <v>0</v>
      </c>
      <c r="P11" s="127">
        <v>114</v>
      </c>
      <c r="Q11" s="129"/>
      <c r="R11" s="126">
        <f t="shared" si="3"/>
        <v>15136.08870967742</v>
      </c>
      <c r="S11" s="126">
        <f t="shared" si="4"/>
        <v>2619</v>
      </c>
      <c r="T11" s="126">
        <f t="shared" si="5"/>
        <v>12517.08870967742</v>
      </c>
    </row>
    <row r="12" spans="1:20" ht="54.75" customHeight="1" x14ac:dyDescent="0.5">
      <c r="A12" s="120">
        <v>10</v>
      </c>
      <c r="B12" s="121">
        <v>2885</v>
      </c>
      <c r="C12" s="122" t="s">
        <v>105</v>
      </c>
      <c r="D12" s="122" t="s">
        <v>106</v>
      </c>
      <c r="E12" s="122" t="s">
        <v>26</v>
      </c>
      <c r="F12" s="123">
        <v>18750</v>
      </c>
      <c r="G12" s="124">
        <v>30</v>
      </c>
      <c r="H12" s="125">
        <v>8</v>
      </c>
      <c r="I12" s="126">
        <f t="shared" si="0"/>
        <v>18145.161290322583</v>
      </c>
      <c r="J12" s="126">
        <f t="shared" si="1"/>
        <v>604.83870967741939</v>
      </c>
      <c r="K12" s="126">
        <f t="shared" si="2"/>
        <v>18750.000000000004</v>
      </c>
      <c r="L12" s="127">
        <v>5</v>
      </c>
      <c r="M12" s="127">
        <v>0</v>
      </c>
      <c r="N12" s="127">
        <v>0</v>
      </c>
      <c r="O12" s="127">
        <v>0</v>
      </c>
      <c r="P12" s="127">
        <v>110</v>
      </c>
      <c r="Q12" s="130"/>
      <c r="R12" s="126">
        <f t="shared" si="3"/>
        <v>18750.000000000004</v>
      </c>
      <c r="S12" s="126">
        <f t="shared" si="4"/>
        <v>115</v>
      </c>
      <c r="T12" s="126">
        <f t="shared" si="5"/>
        <v>18635.000000000004</v>
      </c>
    </row>
    <row r="13" spans="1:20" ht="54.75" customHeight="1" x14ac:dyDescent="0.5">
      <c r="A13" s="120">
        <v>11</v>
      </c>
      <c r="B13" s="121">
        <v>3016</v>
      </c>
      <c r="C13" s="122" t="s">
        <v>115</v>
      </c>
      <c r="D13" s="122" t="s">
        <v>116</v>
      </c>
      <c r="E13" s="122" t="s">
        <v>26</v>
      </c>
      <c r="F13" s="123">
        <v>24000</v>
      </c>
      <c r="G13" s="124">
        <v>31</v>
      </c>
      <c r="H13" s="125">
        <v>38.5</v>
      </c>
      <c r="I13" s="126">
        <f t="shared" si="0"/>
        <v>24000</v>
      </c>
      <c r="J13" s="126">
        <f t="shared" si="1"/>
        <v>3725.8064516129034</v>
      </c>
      <c r="K13" s="126">
        <f t="shared" si="2"/>
        <v>27725.806451612902</v>
      </c>
      <c r="L13" s="127">
        <v>5</v>
      </c>
      <c r="M13" s="127">
        <v>0</v>
      </c>
      <c r="N13" s="127">
        <v>0</v>
      </c>
      <c r="O13" s="127">
        <v>0</v>
      </c>
      <c r="P13" s="127">
        <v>135</v>
      </c>
      <c r="Q13" s="129"/>
      <c r="R13" s="126">
        <f t="shared" si="3"/>
        <v>27725.806451612902</v>
      </c>
      <c r="S13" s="126">
        <f t="shared" si="4"/>
        <v>140</v>
      </c>
      <c r="T13" s="126">
        <f t="shared" si="5"/>
        <v>27585.806451612902</v>
      </c>
    </row>
    <row r="14" spans="1:20" ht="54.75" customHeight="1" x14ac:dyDescent="0.5">
      <c r="A14" s="120">
        <v>12</v>
      </c>
      <c r="B14" s="121">
        <v>3309</v>
      </c>
      <c r="C14" s="122" t="s">
        <v>127</v>
      </c>
      <c r="D14" s="122" t="s">
        <v>128</v>
      </c>
      <c r="E14" s="122" t="s">
        <v>26</v>
      </c>
      <c r="F14" s="123">
        <v>11200</v>
      </c>
      <c r="G14" s="124">
        <v>31</v>
      </c>
      <c r="H14" s="125">
        <v>136.5</v>
      </c>
      <c r="I14" s="126">
        <f t="shared" si="0"/>
        <v>11200</v>
      </c>
      <c r="J14" s="126">
        <f t="shared" si="1"/>
        <v>6164.5161290322585</v>
      </c>
      <c r="K14" s="126">
        <f t="shared" si="2"/>
        <v>17364.516129032258</v>
      </c>
      <c r="L14" s="127">
        <v>5</v>
      </c>
      <c r="M14" s="127">
        <v>0</v>
      </c>
      <c r="N14" s="127">
        <v>3000</v>
      </c>
      <c r="O14" s="127">
        <v>0</v>
      </c>
      <c r="P14" s="127">
        <v>114</v>
      </c>
      <c r="Q14" s="129"/>
      <c r="R14" s="126">
        <f t="shared" si="3"/>
        <v>17364.516129032258</v>
      </c>
      <c r="S14" s="126">
        <f t="shared" si="4"/>
        <v>3119</v>
      </c>
      <c r="T14" s="126">
        <f t="shared" si="5"/>
        <v>14245.516129032258</v>
      </c>
    </row>
    <row r="15" spans="1:20" ht="54.75" customHeight="1" x14ac:dyDescent="0.5">
      <c r="A15" s="120">
        <v>13</v>
      </c>
      <c r="B15" s="121">
        <v>3539</v>
      </c>
      <c r="C15" s="122" t="s">
        <v>154</v>
      </c>
      <c r="D15" s="122" t="s">
        <v>155</v>
      </c>
      <c r="E15" s="122" t="s">
        <v>26</v>
      </c>
      <c r="F15" s="123">
        <v>11200</v>
      </c>
      <c r="G15" s="124">
        <v>31</v>
      </c>
      <c r="H15" s="125">
        <v>98.5</v>
      </c>
      <c r="I15" s="126">
        <f t="shared" si="0"/>
        <v>11200</v>
      </c>
      <c r="J15" s="126">
        <f t="shared" si="1"/>
        <v>4448.3870967741941</v>
      </c>
      <c r="K15" s="126">
        <f t="shared" si="2"/>
        <v>15648.387096774193</v>
      </c>
      <c r="L15" s="127">
        <v>5</v>
      </c>
      <c r="M15" s="127">
        <v>0</v>
      </c>
      <c r="N15" s="127">
        <v>2500</v>
      </c>
      <c r="O15" s="127">
        <v>0</v>
      </c>
      <c r="P15" s="127">
        <v>114</v>
      </c>
      <c r="Q15" s="129"/>
      <c r="R15" s="126">
        <f t="shared" si="3"/>
        <v>15648.387096774193</v>
      </c>
      <c r="S15" s="126">
        <f t="shared" si="4"/>
        <v>2619</v>
      </c>
      <c r="T15" s="126">
        <f t="shared" si="5"/>
        <v>13029.387096774193</v>
      </c>
    </row>
    <row r="16" spans="1:20" ht="54.75" customHeight="1" x14ac:dyDescent="0.5">
      <c r="A16" s="120">
        <v>14</v>
      </c>
      <c r="B16" s="121">
        <v>3650</v>
      </c>
      <c r="C16" s="122" t="s">
        <v>180</v>
      </c>
      <c r="D16" s="122" t="s">
        <v>181</v>
      </c>
      <c r="E16" s="122" t="s">
        <v>26</v>
      </c>
      <c r="F16" s="123">
        <v>13000</v>
      </c>
      <c r="G16" s="124">
        <v>24</v>
      </c>
      <c r="H16" s="125">
        <v>47.5</v>
      </c>
      <c r="I16" s="126">
        <f t="shared" si="0"/>
        <v>10064.516129032258</v>
      </c>
      <c r="J16" s="126">
        <f t="shared" si="1"/>
        <v>2489.9193548387098</v>
      </c>
      <c r="K16" s="126">
        <f t="shared" si="2"/>
        <v>12554.435483870968</v>
      </c>
      <c r="L16" s="127">
        <v>5</v>
      </c>
      <c r="M16" s="127">
        <v>0</v>
      </c>
      <c r="N16" s="127">
        <v>3000</v>
      </c>
      <c r="O16" s="127">
        <v>0</v>
      </c>
      <c r="P16" s="127">
        <v>92</v>
      </c>
      <c r="Q16" s="129"/>
      <c r="R16" s="126">
        <f t="shared" si="3"/>
        <v>12554.435483870968</v>
      </c>
      <c r="S16" s="126">
        <f t="shared" si="4"/>
        <v>3097</v>
      </c>
      <c r="T16" s="126">
        <f t="shared" si="5"/>
        <v>9457.4354838709678</v>
      </c>
    </row>
    <row r="17" spans="1:20" ht="54.75" customHeight="1" x14ac:dyDescent="0.5">
      <c r="A17" s="120">
        <v>15</v>
      </c>
      <c r="B17" s="121">
        <v>3715</v>
      </c>
      <c r="C17" s="122" t="s">
        <v>195</v>
      </c>
      <c r="D17" s="122" t="s">
        <v>196</v>
      </c>
      <c r="E17" s="122" t="s">
        <v>26</v>
      </c>
      <c r="F17" s="123">
        <v>11200</v>
      </c>
      <c r="G17" s="124">
        <v>27</v>
      </c>
      <c r="H17" s="125">
        <v>109</v>
      </c>
      <c r="I17" s="126">
        <f t="shared" si="0"/>
        <v>9754.8387096774204</v>
      </c>
      <c r="J17" s="126">
        <f t="shared" si="1"/>
        <v>4922.5806451612907</v>
      </c>
      <c r="K17" s="126">
        <f t="shared" si="2"/>
        <v>14677.419354838712</v>
      </c>
      <c r="L17" s="127">
        <v>5</v>
      </c>
      <c r="M17" s="127">
        <v>0</v>
      </c>
      <c r="N17" s="127">
        <v>3000</v>
      </c>
      <c r="O17" s="127">
        <v>0</v>
      </c>
      <c r="P17" s="127">
        <v>99</v>
      </c>
      <c r="Q17" s="129"/>
      <c r="R17" s="126">
        <f t="shared" si="3"/>
        <v>14677.419354838712</v>
      </c>
      <c r="S17" s="126">
        <f t="shared" si="4"/>
        <v>3104</v>
      </c>
      <c r="T17" s="126">
        <f t="shared" si="5"/>
        <v>11573.419354838712</v>
      </c>
    </row>
    <row r="18" spans="1:20" ht="54.75" customHeight="1" x14ac:dyDescent="0.5">
      <c r="A18" s="120">
        <v>16</v>
      </c>
      <c r="B18" s="121">
        <v>3897</v>
      </c>
      <c r="C18" s="122" t="s">
        <v>248</v>
      </c>
      <c r="D18" s="122" t="s">
        <v>249</v>
      </c>
      <c r="E18" s="122" t="s">
        <v>26</v>
      </c>
      <c r="F18" s="123">
        <v>17000</v>
      </c>
      <c r="G18" s="124">
        <v>14</v>
      </c>
      <c r="H18" s="125">
        <v>26</v>
      </c>
      <c r="I18" s="126">
        <f t="shared" si="0"/>
        <v>7677.4193548387093</v>
      </c>
      <c r="J18" s="126">
        <f t="shared" si="1"/>
        <v>1782.258064516129</v>
      </c>
      <c r="K18" s="126">
        <f t="shared" si="2"/>
        <v>9459.677419354839</v>
      </c>
      <c r="L18" s="127">
        <v>5</v>
      </c>
      <c r="M18" s="127">
        <v>0</v>
      </c>
      <c r="N18" s="127">
        <v>0</v>
      </c>
      <c r="O18" s="127">
        <v>0</v>
      </c>
      <c r="P18" s="127">
        <v>71</v>
      </c>
      <c r="Q18" s="129"/>
      <c r="R18" s="126">
        <f t="shared" si="3"/>
        <v>9459.677419354839</v>
      </c>
      <c r="S18" s="126">
        <f t="shared" si="4"/>
        <v>76</v>
      </c>
      <c r="T18" s="126">
        <f t="shared" si="5"/>
        <v>9383.677419354839</v>
      </c>
    </row>
    <row r="19" spans="1:20" ht="54.75" customHeight="1" x14ac:dyDescent="0.5">
      <c r="A19" s="120">
        <v>17</v>
      </c>
      <c r="B19" s="121">
        <v>3904</v>
      </c>
      <c r="C19" s="122" t="s">
        <v>103</v>
      </c>
      <c r="D19" s="122" t="s">
        <v>250</v>
      </c>
      <c r="E19" s="122" t="s">
        <v>26</v>
      </c>
      <c r="F19" s="123">
        <v>16000</v>
      </c>
      <c r="G19" s="124">
        <v>19</v>
      </c>
      <c r="H19" s="125">
        <v>32</v>
      </c>
      <c r="I19" s="126">
        <f t="shared" si="0"/>
        <v>9806.4516129032254</v>
      </c>
      <c r="J19" s="126">
        <f t="shared" si="1"/>
        <v>2064.516129032258</v>
      </c>
      <c r="K19" s="126">
        <f t="shared" si="2"/>
        <v>11870.967741935483</v>
      </c>
      <c r="L19" s="127">
        <v>5</v>
      </c>
      <c r="M19" s="127">
        <v>0</v>
      </c>
      <c r="N19" s="127">
        <v>3000</v>
      </c>
      <c r="O19" s="127">
        <v>0</v>
      </c>
      <c r="P19" s="127">
        <v>84</v>
      </c>
      <c r="Q19" s="131"/>
      <c r="R19" s="126">
        <f t="shared" si="3"/>
        <v>11870.967741935483</v>
      </c>
      <c r="S19" s="126">
        <f t="shared" si="4"/>
        <v>3089</v>
      </c>
      <c r="T19" s="126">
        <f t="shared" si="5"/>
        <v>8781.967741935483</v>
      </c>
    </row>
    <row r="20" spans="1:20" s="10" customFormat="1" ht="54.75" customHeight="1" x14ac:dyDescent="0.5">
      <c r="A20" s="120">
        <v>18</v>
      </c>
      <c r="B20" s="121">
        <v>3939</v>
      </c>
      <c r="C20" s="122" t="s">
        <v>273</v>
      </c>
      <c r="D20" s="122" t="s">
        <v>274</v>
      </c>
      <c r="E20" s="122" t="s">
        <v>26</v>
      </c>
      <c r="F20" s="123">
        <v>11000</v>
      </c>
      <c r="G20" s="124">
        <v>2</v>
      </c>
      <c r="H20" s="125">
        <v>19.5</v>
      </c>
      <c r="I20" s="126">
        <f t="shared" si="0"/>
        <v>709.67741935483866</v>
      </c>
      <c r="J20" s="126">
        <f t="shared" si="1"/>
        <v>864.91935483870964</v>
      </c>
      <c r="K20" s="126">
        <f t="shared" si="2"/>
        <v>1574.5967741935483</v>
      </c>
      <c r="L20" s="127">
        <v>5</v>
      </c>
      <c r="M20" s="127">
        <v>0</v>
      </c>
      <c r="N20" s="127">
        <v>0</v>
      </c>
      <c r="O20" s="127">
        <v>0</v>
      </c>
      <c r="P20" s="127">
        <v>26</v>
      </c>
      <c r="Q20" s="129"/>
      <c r="R20" s="126">
        <f t="shared" si="3"/>
        <v>1574.5967741935483</v>
      </c>
      <c r="S20" s="126">
        <f t="shared" si="4"/>
        <v>31</v>
      </c>
      <c r="T20" s="126">
        <f t="shared" si="5"/>
        <v>1543.5967741935483</v>
      </c>
    </row>
    <row r="21" spans="1:20" s="10" customFormat="1" ht="54.75" customHeight="1" x14ac:dyDescent="0.5">
      <c r="A21" s="120">
        <v>19</v>
      </c>
      <c r="B21" s="121">
        <v>3985</v>
      </c>
      <c r="C21" s="122" t="s">
        <v>36</v>
      </c>
      <c r="D21" s="122" t="s">
        <v>304</v>
      </c>
      <c r="E21" s="122" t="s">
        <v>26</v>
      </c>
      <c r="F21" s="123">
        <v>12000</v>
      </c>
      <c r="G21" s="124">
        <v>28</v>
      </c>
      <c r="H21" s="125">
        <v>47</v>
      </c>
      <c r="I21" s="126">
        <f t="shared" si="0"/>
        <v>10838.709677419356</v>
      </c>
      <c r="J21" s="126">
        <f t="shared" si="1"/>
        <v>2274.1935483870971</v>
      </c>
      <c r="K21" s="126">
        <f t="shared" si="2"/>
        <v>13112.903225806453</v>
      </c>
      <c r="L21" s="127">
        <v>5</v>
      </c>
      <c r="M21" s="127">
        <v>0</v>
      </c>
      <c r="N21" s="127">
        <v>3000</v>
      </c>
      <c r="O21" s="127">
        <v>0</v>
      </c>
      <c r="P21" s="127">
        <v>103</v>
      </c>
      <c r="Q21" s="129"/>
      <c r="R21" s="126">
        <f t="shared" si="3"/>
        <v>13112.903225806453</v>
      </c>
      <c r="S21" s="126">
        <f t="shared" si="4"/>
        <v>3108</v>
      </c>
      <c r="T21" s="126">
        <f t="shared" si="5"/>
        <v>10004.903225806453</v>
      </c>
    </row>
    <row r="22" spans="1:20" s="10" customFormat="1" ht="54.75" customHeight="1" x14ac:dyDescent="0.5">
      <c r="A22" s="120">
        <v>20</v>
      </c>
      <c r="B22" s="121">
        <v>4031</v>
      </c>
      <c r="C22" s="122" t="s">
        <v>350</v>
      </c>
      <c r="D22" s="122" t="s">
        <v>25</v>
      </c>
      <c r="E22" s="122" t="s">
        <v>26</v>
      </c>
      <c r="F22" s="123">
        <v>375000</v>
      </c>
      <c r="G22" s="124">
        <v>31</v>
      </c>
      <c r="H22" s="125"/>
      <c r="I22" s="126">
        <f t="shared" si="0"/>
        <v>375000</v>
      </c>
      <c r="J22" s="126">
        <f t="shared" si="1"/>
        <v>0</v>
      </c>
      <c r="K22" s="126">
        <f t="shared" si="2"/>
        <v>375000</v>
      </c>
      <c r="L22" s="127">
        <v>5</v>
      </c>
      <c r="M22" s="127">
        <v>200</v>
      </c>
      <c r="N22" s="127">
        <v>0</v>
      </c>
      <c r="O22" s="127">
        <v>1800</v>
      </c>
      <c r="P22" s="127">
        <v>0</v>
      </c>
      <c r="Q22" s="129">
        <v>84240</v>
      </c>
      <c r="R22" s="126">
        <f t="shared" si="3"/>
        <v>375000</v>
      </c>
      <c r="S22" s="126">
        <f t="shared" si="4"/>
        <v>86245</v>
      </c>
      <c r="T22" s="126">
        <f t="shared" si="5"/>
        <v>288755</v>
      </c>
    </row>
    <row r="23" spans="1:20" s="10" customFormat="1" ht="54.75" customHeight="1" x14ac:dyDescent="0.5">
      <c r="A23" s="120">
        <v>21</v>
      </c>
      <c r="B23" s="121">
        <v>4051</v>
      </c>
      <c r="C23" s="122" t="s">
        <v>388</v>
      </c>
      <c r="D23" s="122" t="s">
        <v>389</v>
      </c>
      <c r="E23" s="122" t="s">
        <v>26</v>
      </c>
      <c r="F23" s="123">
        <v>11800</v>
      </c>
      <c r="G23" s="124">
        <v>20</v>
      </c>
      <c r="H23" s="125">
        <v>193</v>
      </c>
      <c r="I23" s="126">
        <f t="shared" si="0"/>
        <v>7612.9032258064508</v>
      </c>
      <c r="J23" s="126">
        <f t="shared" si="1"/>
        <v>9183.0645161290322</v>
      </c>
      <c r="K23" s="126">
        <f t="shared" si="2"/>
        <v>16795.967741935485</v>
      </c>
      <c r="L23" s="127">
        <v>5</v>
      </c>
      <c r="M23" s="127">
        <v>0</v>
      </c>
      <c r="N23" s="127">
        <v>3000</v>
      </c>
      <c r="O23" s="127">
        <v>0</v>
      </c>
      <c r="P23" s="127">
        <v>73</v>
      </c>
      <c r="Q23" s="129"/>
      <c r="R23" s="126">
        <f t="shared" si="3"/>
        <v>16795.967741935485</v>
      </c>
      <c r="S23" s="126">
        <f t="shared" si="4"/>
        <v>3078</v>
      </c>
      <c r="T23" s="126">
        <f t="shared" si="5"/>
        <v>13717.967741935485</v>
      </c>
    </row>
    <row r="24" spans="1:20" ht="54.75" customHeight="1" x14ac:dyDescent="0.5">
      <c r="A24" s="120">
        <v>22</v>
      </c>
      <c r="B24" s="121">
        <v>4064</v>
      </c>
      <c r="C24" s="122" t="s">
        <v>413</v>
      </c>
      <c r="D24" s="122" t="s">
        <v>414</v>
      </c>
      <c r="E24" s="122" t="s">
        <v>26</v>
      </c>
      <c r="F24" s="123">
        <v>11000</v>
      </c>
      <c r="G24" s="124">
        <v>12</v>
      </c>
      <c r="H24" s="125">
        <v>179</v>
      </c>
      <c r="I24" s="126">
        <f t="shared" si="0"/>
        <v>4258.0645161290322</v>
      </c>
      <c r="J24" s="126">
        <f t="shared" si="1"/>
        <v>7939.5161290322576</v>
      </c>
      <c r="K24" s="126">
        <f t="shared" si="2"/>
        <v>12197.58064516129</v>
      </c>
      <c r="L24" s="127">
        <v>5</v>
      </c>
      <c r="M24" s="127">
        <v>0</v>
      </c>
      <c r="N24" s="127">
        <v>1000</v>
      </c>
      <c r="O24" s="127">
        <v>0</v>
      </c>
      <c r="P24" s="127">
        <v>0</v>
      </c>
      <c r="Q24" s="129"/>
      <c r="R24" s="126">
        <f t="shared" si="3"/>
        <v>12197.58064516129</v>
      </c>
      <c r="S24" s="126">
        <f t="shared" si="4"/>
        <v>1005</v>
      </c>
      <c r="T24" s="126">
        <f t="shared" si="5"/>
        <v>11192.58064516129</v>
      </c>
    </row>
    <row r="25" spans="1:20" ht="54.75" customHeight="1" x14ac:dyDescent="0.5">
      <c r="A25" s="120">
        <v>23</v>
      </c>
      <c r="B25" s="121">
        <v>2026</v>
      </c>
      <c r="C25" s="122" t="s">
        <v>65</v>
      </c>
      <c r="D25" s="122" t="s">
        <v>66</v>
      </c>
      <c r="E25" s="122" t="s">
        <v>67</v>
      </c>
      <c r="F25" s="123">
        <v>15000</v>
      </c>
      <c r="G25" s="124">
        <v>20</v>
      </c>
      <c r="H25" s="125">
        <v>51</v>
      </c>
      <c r="I25" s="126">
        <f t="shared" si="0"/>
        <v>9677.4193548387102</v>
      </c>
      <c r="J25" s="126">
        <f t="shared" si="1"/>
        <v>3084.6774193548385</v>
      </c>
      <c r="K25" s="126">
        <f t="shared" si="2"/>
        <v>12762.096774193549</v>
      </c>
      <c r="L25" s="127">
        <v>5</v>
      </c>
      <c r="M25" s="127">
        <v>0</v>
      </c>
      <c r="N25" s="127">
        <v>0</v>
      </c>
      <c r="O25" s="127">
        <v>0</v>
      </c>
      <c r="P25" s="127">
        <v>81</v>
      </c>
      <c r="Q25" s="129"/>
      <c r="R25" s="126">
        <f t="shared" si="3"/>
        <v>12762.096774193549</v>
      </c>
      <c r="S25" s="126">
        <f t="shared" si="4"/>
        <v>86</v>
      </c>
      <c r="T25" s="126">
        <f t="shared" si="5"/>
        <v>12676.096774193549</v>
      </c>
    </row>
    <row r="26" spans="1:20" ht="54.75" customHeight="1" x14ac:dyDescent="0.5">
      <c r="A26" s="120">
        <v>24</v>
      </c>
      <c r="B26" s="121">
        <v>4018</v>
      </c>
      <c r="C26" s="122" t="s">
        <v>333</v>
      </c>
      <c r="D26" s="122" t="s">
        <v>334</v>
      </c>
      <c r="E26" s="122" t="s">
        <v>67</v>
      </c>
      <c r="F26" s="123">
        <v>9500</v>
      </c>
      <c r="G26" s="124">
        <v>20</v>
      </c>
      <c r="H26" s="125">
        <v>46.5</v>
      </c>
      <c r="I26" s="126">
        <f t="shared" si="0"/>
        <v>6129.0322580645161</v>
      </c>
      <c r="J26" s="126">
        <f t="shared" si="1"/>
        <v>1781.25</v>
      </c>
      <c r="K26" s="126">
        <f t="shared" si="2"/>
        <v>7910.2822580645161</v>
      </c>
      <c r="L26" s="127">
        <v>5</v>
      </c>
      <c r="M26" s="127">
        <v>0</v>
      </c>
      <c r="N26" s="127">
        <v>0</v>
      </c>
      <c r="O26" s="127">
        <v>0</v>
      </c>
      <c r="P26" s="127">
        <v>81</v>
      </c>
      <c r="Q26" s="129"/>
      <c r="R26" s="126">
        <f t="shared" si="3"/>
        <v>7910.2822580645161</v>
      </c>
      <c r="S26" s="126">
        <f t="shared" si="4"/>
        <v>86</v>
      </c>
      <c r="T26" s="126">
        <f t="shared" si="5"/>
        <v>7824.2822580645161</v>
      </c>
    </row>
    <row r="27" spans="1:20" ht="54.75" customHeight="1" x14ac:dyDescent="0.5">
      <c r="A27" s="120">
        <v>25</v>
      </c>
      <c r="B27" s="121">
        <v>4040</v>
      </c>
      <c r="C27" s="122" t="s">
        <v>367</v>
      </c>
      <c r="D27" s="122" t="s">
        <v>368</v>
      </c>
      <c r="E27" s="122" t="s">
        <v>67</v>
      </c>
      <c r="F27" s="123">
        <v>9500</v>
      </c>
      <c r="G27" s="124">
        <v>27</v>
      </c>
      <c r="H27" s="125">
        <v>58.5</v>
      </c>
      <c r="I27" s="126">
        <f t="shared" si="0"/>
        <v>8274.1935483870966</v>
      </c>
      <c r="J27" s="126">
        <f t="shared" si="1"/>
        <v>2240.9274193548385</v>
      </c>
      <c r="K27" s="126">
        <f t="shared" si="2"/>
        <v>10515.120967741936</v>
      </c>
      <c r="L27" s="127">
        <v>5</v>
      </c>
      <c r="M27" s="127">
        <v>0</v>
      </c>
      <c r="N27" s="127">
        <v>2000</v>
      </c>
      <c r="O27" s="127">
        <v>0</v>
      </c>
      <c r="P27" s="127">
        <v>99</v>
      </c>
      <c r="Q27" s="129"/>
      <c r="R27" s="126">
        <f t="shared" si="3"/>
        <v>10515.120967741936</v>
      </c>
      <c r="S27" s="126">
        <f t="shared" si="4"/>
        <v>2104</v>
      </c>
      <c r="T27" s="126">
        <f t="shared" si="5"/>
        <v>8411.1209677419356</v>
      </c>
    </row>
    <row r="28" spans="1:20" ht="54.75" customHeight="1" x14ac:dyDescent="0.5">
      <c r="A28" s="120">
        <v>26</v>
      </c>
      <c r="B28" s="121">
        <v>4047</v>
      </c>
      <c r="C28" s="122" t="s">
        <v>380</v>
      </c>
      <c r="D28" s="122" t="s">
        <v>381</v>
      </c>
      <c r="E28" s="122" t="s">
        <v>67</v>
      </c>
      <c r="F28" s="123">
        <v>9500</v>
      </c>
      <c r="G28" s="124">
        <v>20</v>
      </c>
      <c r="H28" s="125">
        <v>163</v>
      </c>
      <c r="I28" s="126">
        <f t="shared" si="0"/>
        <v>6129.0322580645161</v>
      </c>
      <c r="J28" s="126">
        <f t="shared" si="1"/>
        <v>6243.9516129032254</v>
      </c>
      <c r="K28" s="126">
        <f t="shared" si="2"/>
        <v>12372.983870967742</v>
      </c>
      <c r="L28" s="127">
        <v>5</v>
      </c>
      <c r="M28" s="127">
        <v>0</v>
      </c>
      <c r="N28" s="127">
        <v>2500</v>
      </c>
      <c r="O28" s="127">
        <v>0</v>
      </c>
      <c r="P28" s="127">
        <v>73</v>
      </c>
      <c r="Q28" s="129"/>
      <c r="R28" s="126">
        <f t="shared" si="3"/>
        <v>12372.983870967742</v>
      </c>
      <c r="S28" s="126">
        <f t="shared" si="4"/>
        <v>2578</v>
      </c>
      <c r="T28" s="126">
        <f t="shared" si="5"/>
        <v>9794.9838709677424</v>
      </c>
    </row>
    <row r="29" spans="1:20" ht="54.75" customHeight="1" x14ac:dyDescent="0.5">
      <c r="A29" s="120">
        <v>27</v>
      </c>
      <c r="B29" s="121">
        <v>3308</v>
      </c>
      <c r="C29" s="122" t="s">
        <v>124</v>
      </c>
      <c r="D29" s="122" t="s">
        <v>125</v>
      </c>
      <c r="E29" s="122" t="s">
        <v>126</v>
      </c>
      <c r="F29" s="123">
        <v>12500</v>
      </c>
      <c r="G29" s="124">
        <v>11</v>
      </c>
      <c r="H29" s="125">
        <v>87.5</v>
      </c>
      <c r="I29" s="126">
        <f t="shared" si="0"/>
        <v>4435.4838709677424</v>
      </c>
      <c r="J29" s="126">
        <f t="shared" si="1"/>
        <v>4410.2822580645161</v>
      </c>
      <c r="K29" s="126">
        <f t="shared" si="2"/>
        <v>8845.7661290322576</v>
      </c>
      <c r="L29" s="127">
        <v>5</v>
      </c>
      <c r="M29" s="127">
        <v>0</v>
      </c>
      <c r="N29" s="127">
        <v>0</v>
      </c>
      <c r="O29" s="127">
        <v>0</v>
      </c>
      <c r="P29" s="127">
        <v>52</v>
      </c>
      <c r="Q29" s="129"/>
      <c r="R29" s="126">
        <f t="shared" si="3"/>
        <v>8845.7661290322576</v>
      </c>
      <c r="S29" s="126">
        <f t="shared" si="4"/>
        <v>57</v>
      </c>
      <c r="T29" s="126">
        <f t="shared" si="5"/>
        <v>8788.7661290322576</v>
      </c>
    </row>
    <row r="30" spans="1:20" ht="54.75" customHeight="1" x14ac:dyDescent="0.5">
      <c r="A30" s="120">
        <v>28</v>
      </c>
      <c r="B30" s="121">
        <v>3630</v>
      </c>
      <c r="C30" s="122" t="s">
        <v>164</v>
      </c>
      <c r="D30" s="122" t="s">
        <v>165</v>
      </c>
      <c r="E30" s="122" t="s">
        <v>126</v>
      </c>
      <c r="F30" s="123">
        <v>14000</v>
      </c>
      <c r="G30" s="124">
        <v>30</v>
      </c>
      <c r="H30" s="125">
        <v>233</v>
      </c>
      <c r="I30" s="126">
        <f t="shared" si="0"/>
        <v>13548.387096774193</v>
      </c>
      <c r="J30" s="126">
        <f t="shared" si="1"/>
        <v>13153.225806451614</v>
      </c>
      <c r="K30" s="126">
        <f t="shared" si="2"/>
        <v>26701.612903225807</v>
      </c>
      <c r="L30" s="127">
        <v>5</v>
      </c>
      <c r="M30" s="127">
        <v>0</v>
      </c>
      <c r="N30" s="127">
        <v>0</v>
      </c>
      <c r="O30" s="127">
        <v>0</v>
      </c>
      <c r="P30" s="127">
        <v>110</v>
      </c>
      <c r="Q30" s="129"/>
      <c r="R30" s="126">
        <f t="shared" si="3"/>
        <v>26701.612903225807</v>
      </c>
      <c r="S30" s="126">
        <f t="shared" si="4"/>
        <v>115</v>
      </c>
      <c r="T30" s="126">
        <f t="shared" si="5"/>
        <v>26586.612903225807</v>
      </c>
    </row>
    <row r="31" spans="1:20" ht="54.75" customHeight="1" x14ac:dyDescent="0.5">
      <c r="A31" s="120">
        <v>29</v>
      </c>
      <c r="B31" s="121">
        <v>3772</v>
      </c>
      <c r="C31" s="122" t="s">
        <v>211</v>
      </c>
      <c r="D31" s="122" t="s">
        <v>212</v>
      </c>
      <c r="E31" s="122" t="s">
        <v>126</v>
      </c>
      <c r="F31" s="123">
        <v>11000</v>
      </c>
      <c r="G31" s="124">
        <v>10</v>
      </c>
      <c r="H31" s="125">
        <v>30.5</v>
      </c>
      <c r="I31" s="126">
        <f t="shared" si="0"/>
        <v>3548.3870967741932</v>
      </c>
      <c r="J31" s="126">
        <f t="shared" si="1"/>
        <v>1352.8225806451612</v>
      </c>
      <c r="K31" s="126">
        <f t="shared" si="2"/>
        <v>4901.2096774193542</v>
      </c>
      <c r="L31" s="127">
        <v>5</v>
      </c>
      <c r="M31" s="127">
        <v>0</v>
      </c>
      <c r="N31" s="127">
        <v>0</v>
      </c>
      <c r="O31" s="127">
        <v>0</v>
      </c>
      <c r="P31" s="127">
        <v>52</v>
      </c>
      <c r="Q31" s="129"/>
      <c r="R31" s="126">
        <f t="shared" si="3"/>
        <v>4901.2096774193542</v>
      </c>
      <c r="S31" s="126">
        <f t="shared" si="4"/>
        <v>57</v>
      </c>
      <c r="T31" s="126">
        <f t="shared" si="5"/>
        <v>4844.2096774193542</v>
      </c>
    </row>
    <row r="32" spans="1:20" ht="54.75" customHeight="1" x14ac:dyDescent="0.5">
      <c r="A32" s="120">
        <v>30</v>
      </c>
      <c r="B32" s="121">
        <v>3805</v>
      </c>
      <c r="C32" s="122" t="s">
        <v>221</v>
      </c>
      <c r="D32" s="122" t="s">
        <v>222</v>
      </c>
      <c r="E32" s="122" t="s">
        <v>126</v>
      </c>
      <c r="F32" s="123">
        <v>10500</v>
      </c>
      <c r="G32" s="124">
        <v>25</v>
      </c>
      <c r="H32" s="125">
        <v>80</v>
      </c>
      <c r="I32" s="126">
        <f t="shared" si="0"/>
        <v>8467.7419354838712</v>
      </c>
      <c r="J32" s="126">
        <f t="shared" si="1"/>
        <v>3387.0967741935483</v>
      </c>
      <c r="K32" s="126">
        <f t="shared" si="2"/>
        <v>11854.83870967742</v>
      </c>
      <c r="L32" s="127">
        <v>5</v>
      </c>
      <c r="M32" s="127">
        <v>0</v>
      </c>
      <c r="N32" s="127">
        <v>2000</v>
      </c>
      <c r="O32" s="127">
        <v>0</v>
      </c>
      <c r="P32" s="127">
        <v>95</v>
      </c>
      <c r="Q32" s="129"/>
      <c r="R32" s="126">
        <f t="shared" si="3"/>
        <v>11854.83870967742</v>
      </c>
      <c r="S32" s="126">
        <f t="shared" si="4"/>
        <v>2100</v>
      </c>
      <c r="T32" s="126">
        <f t="shared" si="5"/>
        <v>9754.8387096774204</v>
      </c>
    </row>
    <row r="33" spans="1:20" ht="54.75" customHeight="1" x14ac:dyDescent="0.5">
      <c r="A33" s="120">
        <v>31</v>
      </c>
      <c r="B33" s="121">
        <v>3834</v>
      </c>
      <c r="C33" s="122" t="s">
        <v>230</v>
      </c>
      <c r="D33" s="122" t="s">
        <v>110</v>
      </c>
      <c r="E33" s="122" t="s">
        <v>126</v>
      </c>
      <c r="F33" s="123">
        <v>11000</v>
      </c>
      <c r="G33" s="124">
        <v>26</v>
      </c>
      <c r="H33" s="125">
        <v>90</v>
      </c>
      <c r="I33" s="126">
        <f t="shared" si="0"/>
        <v>9225.8064516129034</v>
      </c>
      <c r="J33" s="126">
        <f t="shared" si="1"/>
        <v>3991.9354838709673</v>
      </c>
      <c r="K33" s="126">
        <f t="shared" si="2"/>
        <v>13217.741935483871</v>
      </c>
      <c r="L33" s="127">
        <v>5</v>
      </c>
      <c r="M33" s="127">
        <v>0</v>
      </c>
      <c r="N33" s="127">
        <v>0</v>
      </c>
      <c r="O33" s="127">
        <v>0</v>
      </c>
      <c r="P33" s="127">
        <v>99</v>
      </c>
      <c r="Q33" s="129"/>
      <c r="R33" s="126">
        <f t="shared" si="3"/>
        <v>13217.741935483871</v>
      </c>
      <c r="S33" s="126">
        <f t="shared" si="4"/>
        <v>104</v>
      </c>
      <c r="T33" s="126">
        <f t="shared" si="5"/>
        <v>13113.741935483871</v>
      </c>
    </row>
    <row r="34" spans="1:20" ht="54.75" customHeight="1" x14ac:dyDescent="0.5">
      <c r="A34" s="120">
        <v>32</v>
      </c>
      <c r="B34" s="121">
        <v>3837</v>
      </c>
      <c r="C34" s="122" t="s">
        <v>233</v>
      </c>
      <c r="D34" s="122" t="s">
        <v>234</v>
      </c>
      <c r="E34" s="122" t="s">
        <v>126</v>
      </c>
      <c r="F34" s="123">
        <v>12500</v>
      </c>
      <c r="G34" s="124">
        <v>20</v>
      </c>
      <c r="H34" s="125">
        <v>104</v>
      </c>
      <c r="I34" s="126">
        <f t="shared" si="0"/>
        <v>8064.5161290322585</v>
      </c>
      <c r="J34" s="126">
        <f t="shared" si="1"/>
        <v>5241.9354838709678</v>
      </c>
      <c r="K34" s="126">
        <f t="shared" si="2"/>
        <v>13306.451612903227</v>
      </c>
      <c r="L34" s="127">
        <v>5</v>
      </c>
      <c r="M34" s="127">
        <v>0</v>
      </c>
      <c r="N34" s="127">
        <v>0</v>
      </c>
      <c r="O34" s="127">
        <v>0</v>
      </c>
      <c r="P34" s="127">
        <v>81</v>
      </c>
      <c r="Q34" s="129"/>
      <c r="R34" s="126">
        <f t="shared" si="3"/>
        <v>13306.451612903227</v>
      </c>
      <c r="S34" s="126">
        <f t="shared" si="4"/>
        <v>86</v>
      </c>
      <c r="T34" s="126">
        <f t="shared" si="5"/>
        <v>13220.451612903227</v>
      </c>
    </row>
    <row r="35" spans="1:20" s="6" customFormat="1" ht="54.75" customHeight="1" x14ac:dyDescent="0.5">
      <c r="A35" s="120">
        <v>33</v>
      </c>
      <c r="B35" s="121">
        <v>3933</v>
      </c>
      <c r="C35" s="122" t="s">
        <v>265</v>
      </c>
      <c r="D35" s="122" t="s">
        <v>266</v>
      </c>
      <c r="E35" s="122" t="s">
        <v>126</v>
      </c>
      <c r="F35" s="123">
        <v>10000</v>
      </c>
      <c r="G35" s="124">
        <v>31</v>
      </c>
      <c r="H35" s="125">
        <v>104</v>
      </c>
      <c r="I35" s="126">
        <f t="shared" si="0"/>
        <v>10000</v>
      </c>
      <c r="J35" s="126">
        <f t="shared" si="1"/>
        <v>4193.5483870967737</v>
      </c>
      <c r="K35" s="126">
        <f t="shared" ref="K35:K62" si="6">I35+J35</f>
        <v>14193.548387096773</v>
      </c>
      <c r="L35" s="127">
        <v>5</v>
      </c>
      <c r="M35" s="127">
        <v>0</v>
      </c>
      <c r="N35" s="127">
        <v>2500</v>
      </c>
      <c r="O35" s="127">
        <v>0</v>
      </c>
      <c r="P35" s="127">
        <v>114</v>
      </c>
      <c r="Q35" s="129"/>
      <c r="R35" s="126">
        <f t="shared" ref="R35:R64" si="7">K35</f>
        <v>14193.548387096773</v>
      </c>
      <c r="S35" s="126">
        <f t="shared" ref="S35:S64" si="8">L35+M35+N35+O35+P35+Q35</f>
        <v>2619</v>
      </c>
      <c r="T35" s="126">
        <f t="shared" ref="T35:T64" si="9">R35-S35</f>
        <v>11574.548387096773</v>
      </c>
    </row>
    <row r="36" spans="1:20" s="6" customFormat="1" ht="54.75" customHeight="1" x14ac:dyDescent="0.5">
      <c r="A36" s="120">
        <v>34</v>
      </c>
      <c r="B36" s="121">
        <v>3947</v>
      </c>
      <c r="C36" s="122" t="s">
        <v>277</v>
      </c>
      <c r="D36" s="122" t="s">
        <v>278</v>
      </c>
      <c r="E36" s="122" t="s">
        <v>126</v>
      </c>
      <c r="F36" s="123">
        <v>12000</v>
      </c>
      <c r="G36" s="124">
        <v>27</v>
      </c>
      <c r="H36" s="125">
        <v>81.5</v>
      </c>
      <c r="I36" s="126">
        <f t="shared" si="0"/>
        <v>10451.612903225807</v>
      </c>
      <c r="J36" s="126">
        <f t="shared" si="1"/>
        <v>3943.5483870967746</v>
      </c>
      <c r="K36" s="126">
        <f t="shared" si="6"/>
        <v>14395.161290322581</v>
      </c>
      <c r="L36" s="127">
        <v>5</v>
      </c>
      <c r="M36" s="127">
        <v>0</v>
      </c>
      <c r="N36" s="127">
        <v>800</v>
      </c>
      <c r="O36" s="127">
        <v>0</v>
      </c>
      <c r="P36" s="127">
        <v>103</v>
      </c>
      <c r="Q36" s="129"/>
      <c r="R36" s="126">
        <f t="shared" si="7"/>
        <v>14395.161290322581</v>
      </c>
      <c r="S36" s="126">
        <f t="shared" si="8"/>
        <v>908</v>
      </c>
      <c r="T36" s="126">
        <f t="shared" si="9"/>
        <v>13487.161290322581</v>
      </c>
    </row>
    <row r="37" spans="1:20" s="6" customFormat="1" ht="54.75" customHeight="1" x14ac:dyDescent="0.5">
      <c r="A37" s="120">
        <v>35</v>
      </c>
      <c r="B37" s="121">
        <v>3974</v>
      </c>
      <c r="C37" s="122" t="s">
        <v>292</v>
      </c>
      <c r="D37" s="122" t="s">
        <v>293</v>
      </c>
      <c r="E37" s="122" t="s">
        <v>126</v>
      </c>
      <c r="F37" s="123">
        <v>11700</v>
      </c>
      <c r="G37" s="124">
        <v>23</v>
      </c>
      <c r="H37" s="125">
        <v>121</v>
      </c>
      <c r="I37" s="126">
        <f t="shared" si="0"/>
        <v>8680.6451612903238</v>
      </c>
      <c r="J37" s="126">
        <f t="shared" si="1"/>
        <v>5708.4677419354839</v>
      </c>
      <c r="K37" s="126">
        <f t="shared" si="6"/>
        <v>14389.112903225807</v>
      </c>
      <c r="L37" s="127">
        <v>5</v>
      </c>
      <c r="M37" s="127">
        <v>0</v>
      </c>
      <c r="N37" s="127">
        <v>2500</v>
      </c>
      <c r="O37" s="127">
        <v>0</v>
      </c>
      <c r="P37" s="127">
        <v>88</v>
      </c>
      <c r="Q37" s="129"/>
      <c r="R37" s="126">
        <f t="shared" si="7"/>
        <v>14389.112903225807</v>
      </c>
      <c r="S37" s="126">
        <f t="shared" si="8"/>
        <v>2593</v>
      </c>
      <c r="T37" s="126">
        <f t="shared" si="9"/>
        <v>11796.112903225807</v>
      </c>
    </row>
    <row r="38" spans="1:20" s="6" customFormat="1" ht="54.75" customHeight="1" x14ac:dyDescent="0.5">
      <c r="A38" s="120">
        <v>36</v>
      </c>
      <c r="B38" s="121">
        <v>4016</v>
      </c>
      <c r="C38" s="122" t="s">
        <v>329</v>
      </c>
      <c r="D38" s="122" t="s">
        <v>330</v>
      </c>
      <c r="E38" s="122" t="s">
        <v>126</v>
      </c>
      <c r="F38" s="123">
        <v>11500</v>
      </c>
      <c r="G38" s="124">
        <v>28</v>
      </c>
      <c r="H38" s="125">
        <v>128</v>
      </c>
      <c r="I38" s="126">
        <f t="shared" si="0"/>
        <v>10387.096774193547</v>
      </c>
      <c r="J38" s="126">
        <f t="shared" si="1"/>
        <v>5935.4838709677415</v>
      </c>
      <c r="K38" s="126">
        <f t="shared" si="6"/>
        <v>16322.580645161288</v>
      </c>
      <c r="L38" s="127">
        <v>5</v>
      </c>
      <c r="M38" s="127">
        <v>0</v>
      </c>
      <c r="N38" s="127">
        <v>2500</v>
      </c>
      <c r="O38" s="127">
        <v>0</v>
      </c>
      <c r="P38" s="127">
        <v>0</v>
      </c>
      <c r="Q38" s="129"/>
      <c r="R38" s="126">
        <f t="shared" si="7"/>
        <v>16322.580645161288</v>
      </c>
      <c r="S38" s="126">
        <f t="shared" si="8"/>
        <v>2505</v>
      </c>
      <c r="T38" s="126">
        <f t="shared" si="9"/>
        <v>13817.580645161288</v>
      </c>
    </row>
    <row r="39" spans="1:20" s="6" customFormat="1" ht="54.75" customHeight="1" x14ac:dyDescent="0.5">
      <c r="A39" s="120">
        <v>37</v>
      </c>
      <c r="B39" s="121">
        <v>4027</v>
      </c>
      <c r="C39" s="122" t="s">
        <v>346</v>
      </c>
      <c r="D39" s="122" t="s">
        <v>281</v>
      </c>
      <c r="E39" s="122" t="s">
        <v>126</v>
      </c>
      <c r="F39" s="123">
        <v>11500</v>
      </c>
      <c r="G39" s="124">
        <v>29</v>
      </c>
      <c r="H39" s="125">
        <v>90.5</v>
      </c>
      <c r="I39" s="126">
        <f t="shared" si="0"/>
        <v>10758.064516129032</v>
      </c>
      <c r="J39" s="126">
        <f t="shared" si="1"/>
        <v>4196.572580645161</v>
      </c>
      <c r="K39" s="126">
        <f t="shared" si="6"/>
        <v>14954.637096774193</v>
      </c>
      <c r="L39" s="127">
        <v>5</v>
      </c>
      <c r="M39" s="127">
        <v>0</v>
      </c>
      <c r="N39" s="127">
        <v>2500</v>
      </c>
      <c r="O39" s="127">
        <v>0</v>
      </c>
      <c r="P39" s="127">
        <v>106</v>
      </c>
      <c r="Q39" s="129"/>
      <c r="R39" s="126">
        <f t="shared" si="7"/>
        <v>14954.637096774193</v>
      </c>
      <c r="S39" s="126">
        <f t="shared" si="8"/>
        <v>2611</v>
      </c>
      <c r="T39" s="126">
        <f t="shared" si="9"/>
        <v>12343.637096774193</v>
      </c>
    </row>
    <row r="40" spans="1:20" s="6" customFormat="1" ht="54.75" customHeight="1" x14ac:dyDescent="0.5">
      <c r="A40" s="120">
        <v>38</v>
      </c>
      <c r="B40" s="121">
        <v>4038</v>
      </c>
      <c r="C40" s="122" t="s">
        <v>363</v>
      </c>
      <c r="D40" s="122" t="s">
        <v>364</v>
      </c>
      <c r="E40" s="122" t="s">
        <v>126</v>
      </c>
      <c r="F40" s="123">
        <v>12000</v>
      </c>
      <c r="G40" s="124">
        <v>30</v>
      </c>
      <c r="H40" s="125">
        <v>176.5</v>
      </c>
      <c r="I40" s="126">
        <f t="shared" si="0"/>
        <v>11612.903225806453</v>
      </c>
      <c r="J40" s="126">
        <f t="shared" si="1"/>
        <v>8540.322580645161</v>
      </c>
      <c r="K40" s="126">
        <f t="shared" si="6"/>
        <v>20153.225806451614</v>
      </c>
      <c r="L40" s="127">
        <v>5</v>
      </c>
      <c r="M40" s="127">
        <v>0</v>
      </c>
      <c r="N40" s="127">
        <v>4000</v>
      </c>
      <c r="O40" s="127">
        <v>0</v>
      </c>
      <c r="P40" s="127">
        <v>110</v>
      </c>
      <c r="Q40" s="129"/>
      <c r="R40" s="126">
        <f t="shared" si="7"/>
        <v>20153.225806451614</v>
      </c>
      <c r="S40" s="126">
        <f t="shared" si="8"/>
        <v>4115</v>
      </c>
      <c r="T40" s="126">
        <f t="shared" si="9"/>
        <v>16038.225806451614</v>
      </c>
    </row>
    <row r="41" spans="1:20" s="6" customFormat="1" ht="54.75" customHeight="1" x14ac:dyDescent="0.5">
      <c r="A41" s="120">
        <v>39</v>
      </c>
      <c r="B41" s="121">
        <v>4053</v>
      </c>
      <c r="C41" s="122" t="s">
        <v>392</v>
      </c>
      <c r="D41" s="122" t="s">
        <v>393</v>
      </c>
      <c r="E41" s="122" t="s">
        <v>126</v>
      </c>
      <c r="F41" s="123">
        <v>11500</v>
      </c>
      <c r="G41" s="124">
        <v>19</v>
      </c>
      <c r="H41" s="125">
        <v>196</v>
      </c>
      <c r="I41" s="126">
        <f t="shared" si="0"/>
        <v>7048.3870967741932</v>
      </c>
      <c r="J41" s="126">
        <f t="shared" si="1"/>
        <v>9088.7096774193542</v>
      </c>
      <c r="K41" s="126">
        <f t="shared" si="6"/>
        <v>16137.096774193547</v>
      </c>
      <c r="L41" s="127">
        <v>5</v>
      </c>
      <c r="M41" s="127">
        <v>0</v>
      </c>
      <c r="N41" s="127">
        <v>3000</v>
      </c>
      <c r="O41" s="127">
        <v>0</v>
      </c>
      <c r="P41" s="127">
        <v>70</v>
      </c>
      <c r="Q41" s="129"/>
      <c r="R41" s="126">
        <f t="shared" si="7"/>
        <v>16137.096774193547</v>
      </c>
      <c r="S41" s="126">
        <f t="shared" si="8"/>
        <v>3075</v>
      </c>
      <c r="T41" s="126">
        <f t="shared" si="9"/>
        <v>13062.096774193547</v>
      </c>
    </row>
    <row r="42" spans="1:20" s="6" customFormat="1" ht="54.75" customHeight="1" x14ac:dyDescent="0.5">
      <c r="A42" s="120">
        <v>40</v>
      </c>
      <c r="B42" s="121">
        <v>4054</v>
      </c>
      <c r="C42" s="122" t="s">
        <v>394</v>
      </c>
      <c r="D42" s="122" t="s">
        <v>395</v>
      </c>
      <c r="E42" s="122" t="s">
        <v>126</v>
      </c>
      <c r="F42" s="123">
        <v>11500</v>
      </c>
      <c r="G42" s="124">
        <v>19</v>
      </c>
      <c r="H42" s="125">
        <v>188</v>
      </c>
      <c r="I42" s="126">
        <f t="shared" si="0"/>
        <v>7048.3870967741932</v>
      </c>
      <c r="J42" s="126">
        <f t="shared" si="1"/>
        <v>8717.7419354838712</v>
      </c>
      <c r="K42" s="126">
        <f t="shared" si="6"/>
        <v>15766.129032258064</v>
      </c>
      <c r="L42" s="127">
        <v>5</v>
      </c>
      <c r="M42" s="127">
        <v>0</v>
      </c>
      <c r="N42" s="127">
        <v>2500</v>
      </c>
      <c r="O42" s="127">
        <v>0</v>
      </c>
      <c r="P42" s="127">
        <v>70</v>
      </c>
      <c r="Q42" s="129"/>
      <c r="R42" s="126">
        <f t="shared" si="7"/>
        <v>15766.129032258064</v>
      </c>
      <c r="S42" s="126">
        <f t="shared" si="8"/>
        <v>2575</v>
      </c>
      <c r="T42" s="126">
        <f t="shared" si="9"/>
        <v>13191.129032258064</v>
      </c>
    </row>
    <row r="43" spans="1:20" s="6" customFormat="1" ht="54.75" customHeight="1" x14ac:dyDescent="0.5">
      <c r="A43" s="120">
        <v>41</v>
      </c>
      <c r="B43" s="121">
        <v>4058</v>
      </c>
      <c r="C43" s="122" t="s">
        <v>401</v>
      </c>
      <c r="D43" s="122" t="s">
        <v>402</v>
      </c>
      <c r="E43" s="122" t="s">
        <v>126</v>
      </c>
      <c r="F43" s="123">
        <v>11500</v>
      </c>
      <c r="G43" s="124">
        <v>19</v>
      </c>
      <c r="H43" s="125">
        <v>229</v>
      </c>
      <c r="I43" s="126">
        <f t="shared" si="0"/>
        <v>7048.3870967741932</v>
      </c>
      <c r="J43" s="126">
        <f t="shared" si="1"/>
        <v>10618.951612903225</v>
      </c>
      <c r="K43" s="126">
        <f t="shared" si="6"/>
        <v>17667.338709677417</v>
      </c>
      <c r="L43" s="127">
        <v>5</v>
      </c>
      <c r="M43" s="127">
        <v>0</v>
      </c>
      <c r="N43" s="127">
        <v>2000</v>
      </c>
      <c r="O43" s="127">
        <v>0</v>
      </c>
      <c r="P43" s="127">
        <v>70</v>
      </c>
      <c r="Q43" s="129"/>
      <c r="R43" s="126">
        <f t="shared" si="7"/>
        <v>17667.338709677417</v>
      </c>
      <c r="S43" s="126">
        <f t="shared" si="8"/>
        <v>2075</v>
      </c>
      <c r="T43" s="126">
        <f t="shared" si="9"/>
        <v>15592.338709677417</v>
      </c>
    </row>
    <row r="44" spans="1:20" s="6" customFormat="1" ht="54.75" customHeight="1" x14ac:dyDescent="0.5">
      <c r="A44" s="120">
        <v>42</v>
      </c>
      <c r="B44" s="121">
        <v>4065</v>
      </c>
      <c r="C44" s="122" t="s">
        <v>415</v>
      </c>
      <c r="D44" s="122" t="s">
        <v>383</v>
      </c>
      <c r="E44" s="122" t="s">
        <v>126</v>
      </c>
      <c r="F44" s="123">
        <v>12000</v>
      </c>
      <c r="G44" s="124">
        <v>13</v>
      </c>
      <c r="H44" s="125">
        <v>313</v>
      </c>
      <c r="I44" s="126">
        <f t="shared" si="0"/>
        <v>5032.2580645161297</v>
      </c>
      <c r="J44" s="126">
        <f t="shared" si="1"/>
        <v>15145.161290322581</v>
      </c>
      <c r="K44" s="126">
        <f t="shared" si="6"/>
        <v>20177.419354838712</v>
      </c>
      <c r="L44" s="127">
        <v>5</v>
      </c>
      <c r="M44" s="127">
        <v>0</v>
      </c>
      <c r="N44" s="127">
        <v>0</v>
      </c>
      <c r="O44" s="127">
        <v>0</v>
      </c>
      <c r="P44" s="127">
        <v>48</v>
      </c>
      <c r="Q44" s="129"/>
      <c r="R44" s="126">
        <f t="shared" si="7"/>
        <v>20177.419354838712</v>
      </c>
      <c r="S44" s="126">
        <f t="shared" si="8"/>
        <v>53</v>
      </c>
      <c r="T44" s="126">
        <f t="shared" si="9"/>
        <v>20124.419354838712</v>
      </c>
    </row>
    <row r="45" spans="1:20" s="6" customFormat="1" ht="54.75" customHeight="1" x14ac:dyDescent="0.5">
      <c r="A45" s="120">
        <v>43</v>
      </c>
      <c r="B45" s="121">
        <v>4072</v>
      </c>
      <c r="C45" s="122" t="s">
        <v>427</v>
      </c>
      <c r="D45" s="122" t="s">
        <v>428</v>
      </c>
      <c r="E45" s="122" t="s">
        <v>126</v>
      </c>
      <c r="F45" s="123">
        <v>12000</v>
      </c>
      <c r="G45" s="124">
        <v>7</v>
      </c>
      <c r="H45" s="125">
        <v>47.5</v>
      </c>
      <c r="I45" s="126">
        <f t="shared" si="0"/>
        <v>2709.677419354839</v>
      </c>
      <c r="J45" s="126">
        <f t="shared" si="1"/>
        <v>2298.3870967741937</v>
      </c>
      <c r="K45" s="126">
        <f t="shared" si="6"/>
        <v>5008.0645161290322</v>
      </c>
      <c r="L45" s="127">
        <v>5</v>
      </c>
      <c r="M45" s="127">
        <v>0</v>
      </c>
      <c r="N45" s="127">
        <v>0</v>
      </c>
      <c r="O45" s="127">
        <v>0</v>
      </c>
      <c r="P45" s="127">
        <v>0</v>
      </c>
      <c r="Q45" s="129"/>
      <c r="R45" s="126">
        <f t="shared" si="7"/>
        <v>5008.0645161290322</v>
      </c>
      <c r="S45" s="126">
        <f t="shared" si="8"/>
        <v>5</v>
      </c>
      <c r="T45" s="126">
        <f t="shared" si="9"/>
        <v>5003.0645161290322</v>
      </c>
    </row>
    <row r="46" spans="1:20" s="6" customFormat="1" ht="54.75" customHeight="1" x14ac:dyDescent="0.5">
      <c r="A46" s="120">
        <v>44</v>
      </c>
      <c r="B46" s="121">
        <v>2338</v>
      </c>
      <c r="C46" s="122" t="s">
        <v>75</v>
      </c>
      <c r="D46" s="122" t="s">
        <v>76</v>
      </c>
      <c r="E46" s="122" t="s">
        <v>77</v>
      </c>
      <c r="F46" s="123">
        <v>12000</v>
      </c>
      <c r="G46" s="124">
        <v>25</v>
      </c>
      <c r="H46" s="125">
        <v>118.5</v>
      </c>
      <c r="I46" s="126">
        <f t="shared" si="0"/>
        <v>9677.4193548387102</v>
      </c>
      <c r="J46" s="126">
        <f t="shared" si="1"/>
        <v>5733.8709677419356</v>
      </c>
      <c r="K46" s="126">
        <f t="shared" si="6"/>
        <v>15411.290322580646</v>
      </c>
      <c r="L46" s="127">
        <v>5</v>
      </c>
      <c r="M46" s="127">
        <v>0</v>
      </c>
      <c r="N46" s="127">
        <v>4000</v>
      </c>
      <c r="O46" s="127">
        <v>0</v>
      </c>
      <c r="P46" s="127">
        <v>95</v>
      </c>
      <c r="Q46" s="129"/>
      <c r="R46" s="126">
        <f t="shared" si="7"/>
        <v>15411.290322580646</v>
      </c>
      <c r="S46" s="126">
        <f t="shared" si="8"/>
        <v>4100</v>
      </c>
      <c r="T46" s="126">
        <f t="shared" si="9"/>
        <v>11311.290322580646</v>
      </c>
    </row>
    <row r="47" spans="1:20" s="6" customFormat="1" ht="54.75" customHeight="1" x14ac:dyDescent="0.5">
      <c r="A47" s="120">
        <v>45</v>
      </c>
      <c r="B47" s="121">
        <v>2686</v>
      </c>
      <c r="C47" s="122" t="s">
        <v>88</v>
      </c>
      <c r="D47" s="122" t="s">
        <v>89</v>
      </c>
      <c r="E47" s="122" t="s">
        <v>77</v>
      </c>
      <c r="F47" s="123">
        <v>12300</v>
      </c>
      <c r="G47" s="124">
        <v>31</v>
      </c>
      <c r="H47" s="125">
        <v>102.5</v>
      </c>
      <c r="I47" s="126">
        <f t="shared" si="0"/>
        <v>12300</v>
      </c>
      <c r="J47" s="126">
        <f t="shared" si="1"/>
        <v>5083.6693548387093</v>
      </c>
      <c r="K47" s="126">
        <f t="shared" si="6"/>
        <v>17383.669354838708</v>
      </c>
      <c r="L47" s="127">
        <v>5</v>
      </c>
      <c r="M47" s="127">
        <v>0</v>
      </c>
      <c r="N47" s="127">
        <v>4000</v>
      </c>
      <c r="O47" s="127">
        <v>0</v>
      </c>
      <c r="P47" s="127">
        <v>114</v>
      </c>
      <c r="Q47" s="129"/>
      <c r="R47" s="126">
        <f t="shared" si="7"/>
        <v>17383.669354838708</v>
      </c>
      <c r="S47" s="126">
        <f t="shared" si="8"/>
        <v>4119</v>
      </c>
      <c r="T47" s="126">
        <f t="shared" si="9"/>
        <v>13264.669354838708</v>
      </c>
    </row>
    <row r="48" spans="1:20" s="6" customFormat="1" ht="54.75" customHeight="1" x14ac:dyDescent="0.5">
      <c r="A48" s="120">
        <v>46</v>
      </c>
      <c r="B48" s="121">
        <v>2861</v>
      </c>
      <c r="C48" s="122" t="s">
        <v>101</v>
      </c>
      <c r="D48" s="122" t="s">
        <v>102</v>
      </c>
      <c r="E48" s="122" t="s">
        <v>77</v>
      </c>
      <c r="F48" s="123">
        <v>32100</v>
      </c>
      <c r="G48" s="124">
        <v>30</v>
      </c>
      <c r="H48" s="125">
        <v>143.5</v>
      </c>
      <c r="I48" s="126">
        <f t="shared" si="0"/>
        <v>31064.516129032258</v>
      </c>
      <c r="J48" s="126">
        <f t="shared" si="1"/>
        <v>18573.991935483871</v>
      </c>
      <c r="K48" s="126">
        <f t="shared" si="6"/>
        <v>49638.508064516129</v>
      </c>
      <c r="L48" s="127">
        <v>5</v>
      </c>
      <c r="M48" s="127">
        <v>200</v>
      </c>
      <c r="N48" s="127">
        <v>5000</v>
      </c>
      <c r="O48" s="127">
        <v>0</v>
      </c>
      <c r="P48" s="127">
        <v>0</v>
      </c>
      <c r="Q48" s="129"/>
      <c r="R48" s="126">
        <f t="shared" si="7"/>
        <v>49638.508064516129</v>
      </c>
      <c r="S48" s="126">
        <f t="shared" si="8"/>
        <v>5205</v>
      </c>
      <c r="T48" s="126">
        <f t="shared" si="9"/>
        <v>44433.508064516129</v>
      </c>
    </row>
    <row r="49" spans="1:20" s="6" customFormat="1" ht="54.75" customHeight="1" x14ac:dyDescent="0.5">
      <c r="A49" s="120">
        <v>47</v>
      </c>
      <c r="B49" s="121">
        <v>3348</v>
      </c>
      <c r="C49" s="122" t="s">
        <v>131</v>
      </c>
      <c r="D49" s="122" t="s">
        <v>132</v>
      </c>
      <c r="E49" s="122" t="s">
        <v>77</v>
      </c>
      <c r="F49" s="123">
        <v>12500</v>
      </c>
      <c r="G49" s="124">
        <v>8</v>
      </c>
      <c r="H49" s="125">
        <v>36</v>
      </c>
      <c r="I49" s="126">
        <f t="shared" si="0"/>
        <v>3225.8064516129034</v>
      </c>
      <c r="J49" s="126">
        <f t="shared" si="1"/>
        <v>1814.516129032258</v>
      </c>
      <c r="K49" s="126">
        <f t="shared" si="6"/>
        <v>5040.322580645161</v>
      </c>
      <c r="L49" s="127">
        <v>5</v>
      </c>
      <c r="M49" s="127">
        <v>0</v>
      </c>
      <c r="N49" s="127">
        <v>0</v>
      </c>
      <c r="O49" s="127">
        <v>0</v>
      </c>
      <c r="P49" s="127">
        <v>48</v>
      </c>
      <c r="Q49" s="129"/>
      <c r="R49" s="126">
        <f t="shared" si="7"/>
        <v>5040.322580645161</v>
      </c>
      <c r="S49" s="126">
        <f t="shared" si="8"/>
        <v>53</v>
      </c>
      <c r="T49" s="126">
        <f t="shared" si="9"/>
        <v>4987.322580645161</v>
      </c>
    </row>
    <row r="50" spans="1:20" s="6" customFormat="1" ht="54.75" customHeight="1" x14ac:dyDescent="0.5">
      <c r="A50" s="120">
        <v>48</v>
      </c>
      <c r="B50" s="121">
        <v>3361</v>
      </c>
      <c r="C50" s="122" t="s">
        <v>137</v>
      </c>
      <c r="D50" s="122" t="s">
        <v>138</v>
      </c>
      <c r="E50" s="122" t="s">
        <v>77</v>
      </c>
      <c r="F50" s="123">
        <v>15300</v>
      </c>
      <c r="G50" s="124">
        <v>31</v>
      </c>
      <c r="H50" s="125">
        <v>147</v>
      </c>
      <c r="I50" s="126">
        <f t="shared" si="0"/>
        <v>15300</v>
      </c>
      <c r="J50" s="126">
        <f t="shared" si="1"/>
        <v>9068.9516129032254</v>
      </c>
      <c r="K50" s="126">
        <f t="shared" si="6"/>
        <v>24368.951612903227</v>
      </c>
      <c r="L50" s="127">
        <v>5</v>
      </c>
      <c r="M50" s="127">
        <v>0</v>
      </c>
      <c r="N50" s="127">
        <v>4000</v>
      </c>
      <c r="O50" s="127">
        <v>0</v>
      </c>
      <c r="P50" s="127">
        <v>125</v>
      </c>
      <c r="Q50" s="129"/>
      <c r="R50" s="126">
        <f t="shared" si="7"/>
        <v>24368.951612903227</v>
      </c>
      <c r="S50" s="126">
        <f t="shared" si="8"/>
        <v>4130</v>
      </c>
      <c r="T50" s="126">
        <f t="shared" si="9"/>
        <v>20238.951612903227</v>
      </c>
    </row>
    <row r="51" spans="1:20" s="6" customFormat="1" ht="54.75" customHeight="1" x14ac:dyDescent="0.5">
      <c r="A51" s="120">
        <v>49</v>
      </c>
      <c r="B51" s="121">
        <v>3373</v>
      </c>
      <c r="C51" s="122" t="s">
        <v>139</v>
      </c>
      <c r="D51" s="122" t="s">
        <v>140</v>
      </c>
      <c r="E51" s="122" t="s">
        <v>77</v>
      </c>
      <c r="F51" s="123">
        <v>13100</v>
      </c>
      <c r="G51" s="124">
        <v>25</v>
      </c>
      <c r="H51" s="125">
        <v>112</v>
      </c>
      <c r="I51" s="126">
        <f t="shared" si="0"/>
        <v>10564.516129032258</v>
      </c>
      <c r="J51" s="126">
        <f t="shared" si="1"/>
        <v>5916.1290322580644</v>
      </c>
      <c r="K51" s="126">
        <f t="shared" si="6"/>
        <v>16480.645161290322</v>
      </c>
      <c r="L51" s="127">
        <v>5</v>
      </c>
      <c r="M51" s="127">
        <v>0</v>
      </c>
      <c r="N51" s="127">
        <v>3000</v>
      </c>
      <c r="O51" s="127">
        <v>0</v>
      </c>
      <c r="P51" s="127">
        <v>95</v>
      </c>
      <c r="Q51" s="129"/>
      <c r="R51" s="126">
        <f t="shared" si="7"/>
        <v>16480.645161290322</v>
      </c>
      <c r="S51" s="126">
        <f t="shared" si="8"/>
        <v>3100</v>
      </c>
      <c r="T51" s="126">
        <f t="shared" si="9"/>
        <v>13380.645161290322</v>
      </c>
    </row>
    <row r="52" spans="1:20" s="6" customFormat="1" ht="54.75" customHeight="1" x14ac:dyDescent="0.5">
      <c r="A52" s="120">
        <v>50</v>
      </c>
      <c r="B52" s="121">
        <v>3915</v>
      </c>
      <c r="C52" s="122" t="s">
        <v>254</v>
      </c>
      <c r="D52" s="122" t="s">
        <v>255</v>
      </c>
      <c r="E52" s="122" t="s">
        <v>77</v>
      </c>
      <c r="F52" s="123">
        <v>12700</v>
      </c>
      <c r="G52" s="124">
        <v>4</v>
      </c>
      <c r="H52" s="125">
        <v>15</v>
      </c>
      <c r="I52" s="126">
        <f t="shared" si="0"/>
        <v>1638.7096774193549</v>
      </c>
      <c r="J52" s="126">
        <f t="shared" si="1"/>
        <v>768.14516129032256</v>
      </c>
      <c r="K52" s="126">
        <f t="shared" si="6"/>
        <v>2406.8548387096776</v>
      </c>
      <c r="L52" s="127">
        <v>5</v>
      </c>
      <c r="M52" s="127">
        <v>0</v>
      </c>
      <c r="N52" s="127">
        <v>0</v>
      </c>
      <c r="O52" s="127">
        <v>0</v>
      </c>
      <c r="P52" s="127">
        <v>30</v>
      </c>
      <c r="Q52" s="129"/>
      <c r="R52" s="126">
        <f t="shared" si="7"/>
        <v>2406.8548387096776</v>
      </c>
      <c r="S52" s="126">
        <f t="shared" si="8"/>
        <v>35</v>
      </c>
      <c r="T52" s="126">
        <f t="shared" si="9"/>
        <v>2371.8548387096776</v>
      </c>
    </row>
    <row r="53" spans="1:20" s="6" customFormat="1" ht="54.75" customHeight="1" x14ac:dyDescent="0.5">
      <c r="A53" s="120">
        <v>51</v>
      </c>
      <c r="B53" s="121">
        <v>4050</v>
      </c>
      <c r="C53" s="122" t="s">
        <v>386</v>
      </c>
      <c r="D53" s="122" t="s">
        <v>387</v>
      </c>
      <c r="E53" s="122" t="s">
        <v>77</v>
      </c>
      <c r="F53" s="123">
        <v>13000</v>
      </c>
      <c r="G53" s="124">
        <v>20</v>
      </c>
      <c r="H53" s="125">
        <v>329.5</v>
      </c>
      <c r="I53" s="126">
        <f t="shared" si="0"/>
        <v>8387.0967741935492</v>
      </c>
      <c r="J53" s="126">
        <f t="shared" si="1"/>
        <v>17272.177419354841</v>
      </c>
      <c r="K53" s="126">
        <f t="shared" si="6"/>
        <v>25659.27419354839</v>
      </c>
      <c r="L53" s="127">
        <v>5</v>
      </c>
      <c r="M53" s="127">
        <v>0</v>
      </c>
      <c r="N53" s="127">
        <v>4000</v>
      </c>
      <c r="O53" s="127">
        <v>0</v>
      </c>
      <c r="P53" s="127">
        <v>73</v>
      </c>
      <c r="Q53" s="129"/>
      <c r="R53" s="126">
        <f t="shared" si="7"/>
        <v>25659.27419354839</v>
      </c>
      <c r="S53" s="126">
        <f t="shared" si="8"/>
        <v>4078</v>
      </c>
      <c r="T53" s="126">
        <f t="shared" si="9"/>
        <v>21581.27419354839</v>
      </c>
    </row>
    <row r="54" spans="1:20" s="6" customFormat="1" ht="54.75" customHeight="1" x14ac:dyDescent="0.5">
      <c r="A54" s="120">
        <v>52</v>
      </c>
      <c r="B54" s="121">
        <v>4066</v>
      </c>
      <c r="C54" s="122" t="s">
        <v>416</v>
      </c>
      <c r="D54" s="122" t="s">
        <v>324</v>
      </c>
      <c r="E54" s="122" t="s">
        <v>77</v>
      </c>
      <c r="F54" s="123">
        <v>11500</v>
      </c>
      <c r="G54" s="124">
        <v>7</v>
      </c>
      <c r="H54" s="125">
        <v>214</v>
      </c>
      <c r="I54" s="126">
        <f t="shared" si="0"/>
        <v>2596.7741935483868</v>
      </c>
      <c r="J54" s="126">
        <f t="shared" si="1"/>
        <v>9923.3870967741932</v>
      </c>
      <c r="K54" s="126">
        <f t="shared" si="6"/>
        <v>12520.16129032258</v>
      </c>
      <c r="L54" s="127">
        <v>5</v>
      </c>
      <c r="M54" s="127">
        <v>0</v>
      </c>
      <c r="N54" s="127">
        <v>500</v>
      </c>
      <c r="O54" s="127">
        <v>0</v>
      </c>
      <c r="P54" s="127">
        <v>8</v>
      </c>
      <c r="Q54" s="129"/>
      <c r="R54" s="126">
        <f t="shared" si="7"/>
        <v>12520.16129032258</v>
      </c>
      <c r="S54" s="126">
        <f t="shared" si="8"/>
        <v>513</v>
      </c>
      <c r="T54" s="126">
        <f t="shared" si="9"/>
        <v>12007.16129032258</v>
      </c>
    </row>
    <row r="55" spans="1:20" s="6" customFormat="1" ht="54.75" customHeight="1" x14ac:dyDescent="0.5">
      <c r="A55" s="120">
        <v>53</v>
      </c>
      <c r="B55" s="121">
        <v>2668</v>
      </c>
      <c r="C55" s="122" t="s">
        <v>85</v>
      </c>
      <c r="D55" s="122" t="s">
        <v>86</v>
      </c>
      <c r="E55" s="122" t="s">
        <v>87</v>
      </c>
      <c r="F55" s="123">
        <v>49500</v>
      </c>
      <c r="G55" s="124">
        <v>31</v>
      </c>
      <c r="H55" s="125">
        <v>157</v>
      </c>
      <c r="I55" s="126">
        <f t="shared" si="0"/>
        <v>49500</v>
      </c>
      <c r="J55" s="126">
        <f t="shared" si="1"/>
        <v>31336.693548387095</v>
      </c>
      <c r="K55" s="126">
        <f t="shared" si="6"/>
        <v>80836.693548387091</v>
      </c>
      <c r="L55" s="127">
        <v>5</v>
      </c>
      <c r="M55" s="127">
        <v>200</v>
      </c>
      <c r="N55" s="127">
        <v>0</v>
      </c>
      <c r="O55" s="127">
        <v>0</v>
      </c>
      <c r="P55" s="127">
        <v>0</v>
      </c>
      <c r="Q55" s="129"/>
      <c r="R55" s="126">
        <f t="shared" si="7"/>
        <v>80836.693548387091</v>
      </c>
      <c r="S55" s="126">
        <f t="shared" si="8"/>
        <v>205</v>
      </c>
      <c r="T55" s="126">
        <f t="shared" si="9"/>
        <v>80631.693548387091</v>
      </c>
    </row>
    <row r="56" spans="1:20" s="6" customFormat="1" ht="54.75" customHeight="1" x14ac:dyDescent="0.5">
      <c r="A56" s="120">
        <v>54</v>
      </c>
      <c r="B56" s="121">
        <v>3504</v>
      </c>
      <c r="C56" s="122" t="s">
        <v>152</v>
      </c>
      <c r="D56" s="122" t="s">
        <v>153</v>
      </c>
      <c r="E56" s="122" t="s">
        <v>87</v>
      </c>
      <c r="F56" s="123">
        <v>13500</v>
      </c>
      <c r="G56" s="124">
        <v>19</v>
      </c>
      <c r="H56" s="125">
        <v>97</v>
      </c>
      <c r="I56" s="126">
        <f t="shared" si="0"/>
        <v>8274.1935483870966</v>
      </c>
      <c r="J56" s="126">
        <f t="shared" si="1"/>
        <v>5280.2419354838712</v>
      </c>
      <c r="K56" s="126">
        <f t="shared" si="6"/>
        <v>13554.435483870968</v>
      </c>
      <c r="L56" s="127">
        <v>5</v>
      </c>
      <c r="M56" s="127">
        <v>0</v>
      </c>
      <c r="N56" s="127">
        <v>0</v>
      </c>
      <c r="O56" s="127">
        <v>0</v>
      </c>
      <c r="P56" s="127">
        <v>77</v>
      </c>
      <c r="Q56" s="129"/>
      <c r="R56" s="126">
        <f t="shared" si="7"/>
        <v>13554.435483870968</v>
      </c>
      <c r="S56" s="126">
        <f t="shared" si="8"/>
        <v>82</v>
      </c>
      <c r="T56" s="126">
        <f t="shared" si="9"/>
        <v>13472.435483870968</v>
      </c>
    </row>
    <row r="57" spans="1:20" s="6" customFormat="1" ht="54.75" customHeight="1" x14ac:dyDescent="0.5">
      <c r="A57" s="120">
        <v>55</v>
      </c>
      <c r="B57" s="121">
        <v>3938</v>
      </c>
      <c r="C57" s="122" t="s">
        <v>271</v>
      </c>
      <c r="D57" s="122" t="s">
        <v>272</v>
      </c>
      <c r="E57" s="122" t="s">
        <v>87</v>
      </c>
      <c r="F57" s="123">
        <v>18000</v>
      </c>
      <c r="G57" s="124">
        <v>31</v>
      </c>
      <c r="H57" s="125">
        <v>122.5</v>
      </c>
      <c r="I57" s="126">
        <f t="shared" si="0"/>
        <v>18000</v>
      </c>
      <c r="J57" s="126">
        <f t="shared" si="1"/>
        <v>8891.1290322580644</v>
      </c>
      <c r="K57" s="126">
        <f t="shared" si="6"/>
        <v>26891.129032258064</v>
      </c>
      <c r="L57" s="127">
        <v>5</v>
      </c>
      <c r="M57" s="127">
        <v>0</v>
      </c>
      <c r="N57" s="127">
        <v>0</v>
      </c>
      <c r="O57" s="127">
        <v>0</v>
      </c>
      <c r="P57" s="127">
        <v>141</v>
      </c>
      <c r="Q57" s="129"/>
      <c r="R57" s="126">
        <f t="shared" si="7"/>
        <v>26891.129032258064</v>
      </c>
      <c r="S57" s="126">
        <f t="shared" si="8"/>
        <v>146</v>
      </c>
      <c r="T57" s="126">
        <f t="shared" si="9"/>
        <v>26745.129032258064</v>
      </c>
    </row>
    <row r="58" spans="1:20" s="6" customFormat="1" ht="54.75" customHeight="1" x14ac:dyDescent="0.5">
      <c r="A58" s="120">
        <v>56</v>
      </c>
      <c r="B58" s="121">
        <v>1948</v>
      </c>
      <c r="C58" s="122" t="s">
        <v>62</v>
      </c>
      <c r="D58" s="122" t="s">
        <v>63</v>
      </c>
      <c r="E58" s="122" t="s">
        <v>64</v>
      </c>
      <c r="F58" s="123">
        <v>85000</v>
      </c>
      <c r="G58" s="124">
        <v>31</v>
      </c>
      <c r="H58" s="125"/>
      <c r="I58" s="126">
        <f t="shared" si="0"/>
        <v>85000</v>
      </c>
      <c r="J58" s="126">
        <f t="shared" si="1"/>
        <v>0</v>
      </c>
      <c r="K58" s="126">
        <f t="shared" si="6"/>
        <v>85000</v>
      </c>
      <c r="L58" s="127">
        <v>5</v>
      </c>
      <c r="M58" s="127">
        <v>200</v>
      </c>
      <c r="N58" s="127">
        <v>0</v>
      </c>
      <c r="O58" s="127">
        <v>0</v>
      </c>
      <c r="P58" s="127">
        <v>0</v>
      </c>
      <c r="Q58" s="129"/>
      <c r="R58" s="126">
        <f t="shared" si="7"/>
        <v>85000</v>
      </c>
      <c r="S58" s="126">
        <f t="shared" si="8"/>
        <v>205</v>
      </c>
      <c r="T58" s="126">
        <f t="shared" si="9"/>
        <v>84795</v>
      </c>
    </row>
    <row r="59" spans="1:20" s="6" customFormat="1" ht="54.75" customHeight="1" x14ac:dyDescent="0.5">
      <c r="A59" s="120">
        <v>57</v>
      </c>
      <c r="B59" s="121">
        <v>766</v>
      </c>
      <c r="C59" s="122" t="s">
        <v>39</v>
      </c>
      <c r="D59" s="122" t="s">
        <v>40</v>
      </c>
      <c r="E59" s="122" t="s">
        <v>41</v>
      </c>
      <c r="F59" s="123">
        <v>20500</v>
      </c>
      <c r="G59" s="124">
        <v>31</v>
      </c>
      <c r="H59" s="125">
        <v>218</v>
      </c>
      <c r="I59" s="126">
        <f t="shared" si="0"/>
        <v>20500</v>
      </c>
      <c r="J59" s="126">
        <f t="shared" si="1"/>
        <v>18020.16129032258</v>
      </c>
      <c r="K59" s="126">
        <f t="shared" si="6"/>
        <v>38520.161290322576</v>
      </c>
      <c r="L59" s="127">
        <v>5</v>
      </c>
      <c r="M59" s="127">
        <v>200</v>
      </c>
      <c r="N59" s="127">
        <v>0</v>
      </c>
      <c r="O59" s="127">
        <v>1800</v>
      </c>
      <c r="P59" s="127">
        <v>158</v>
      </c>
      <c r="Q59" s="129"/>
      <c r="R59" s="126">
        <f t="shared" si="7"/>
        <v>38520.161290322576</v>
      </c>
      <c r="S59" s="126">
        <f t="shared" si="8"/>
        <v>2163</v>
      </c>
      <c r="T59" s="126">
        <f t="shared" si="9"/>
        <v>36357.161290322576</v>
      </c>
    </row>
    <row r="60" spans="1:20" s="6" customFormat="1" ht="54.75" customHeight="1" x14ac:dyDescent="0.5">
      <c r="A60" s="120">
        <v>58</v>
      </c>
      <c r="B60" s="121">
        <v>1590</v>
      </c>
      <c r="C60" s="122" t="s">
        <v>52</v>
      </c>
      <c r="D60" s="122" t="s">
        <v>53</v>
      </c>
      <c r="E60" s="122" t="s">
        <v>41</v>
      </c>
      <c r="F60" s="123">
        <v>29700</v>
      </c>
      <c r="G60" s="124">
        <v>30</v>
      </c>
      <c r="H60" s="125">
        <v>198.5</v>
      </c>
      <c r="I60" s="126">
        <f t="shared" si="0"/>
        <v>28741.93548387097</v>
      </c>
      <c r="J60" s="126">
        <f t="shared" si="1"/>
        <v>23771.975806451614</v>
      </c>
      <c r="K60" s="126">
        <f t="shared" si="6"/>
        <v>52513.911290322583</v>
      </c>
      <c r="L60" s="127">
        <v>5</v>
      </c>
      <c r="M60" s="127">
        <v>200</v>
      </c>
      <c r="N60" s="127">
        <v>0</v>
      </c>
      <c r="O60" s="127">
        <v>0</v>
      </c>
      <c r="P60" s="127">
        <v>0</v>
      </c>
      <c r="Q60" s="129"/>
      <c r="R60" s="126">
        <f t="shared" si="7"/>
        <v>52513.911290322583</v>
      </c>
      <c r="S60" s="126">
        <f t="shared" si="8"/>
        <v>205</v>
      </c>
      <c r="T60" s="126">
        <f t="shared" si="9"/>
        <v>52308.911290322583</v>
      </c>
    </row>
    <row r="61" spans="1:20" s="6" customFormat="1" ht="54.75" customHeight="1" x14ac:dyDescent="0.5">
      <c r="A61" s="120">
        <v>59</v>
      </c>
      <c r="B61" s="121">
        <v>3851</v>
      </c>
      <c r="C61" s="122" t="s">
        <v>237</v>
      </c>
      <c r="D61" s="122" t="s">
        <v>238</v>
      </c>
      <c r="E61" s="122" t="s">
        <v>41</v>
      </c>
      <c r="F61" s="123">
        <v>19000</v>
      </c>
      <c r="G61" s="124">
        <v>22</v>
      </c>
      <c r="H61" s="125">
        <v>101.5</v>
      </c>
      <c r="I61" s="126">
        <f t="shared" si="0"/>
        <v>13483.870967741936</v>
      </c>
      <c r="J61" s="126">
        <f t="shared" si="1"/>
        <v>7776.2096774193542</v>
      </c>
      <c r="K61" s="126">
        <f t="shared" si="6"/>
        <v>21260.080645161288</v>
      </c>
      <c r="L61" s="127">
        <v>5</v>
      </c>
      <c r="M61" s="127">
        <v>0</v>
      </c>
      <c r="N61" s="127">
        <v>7080</v>
      </c>
      <c r="O61" s="127">
        <v>0</v>
      </c>
      <c r="P61" s="127">
        <v>122</v>
      </c>
      <c r="Q61" s="129"/>
      <c r="R61" s="126">
        <f t="shared" si="7"/>
        <v>21260.080645161288</v>
      </c>
      <c r="S61" s="126">
        <f t="shared" si="8"/>
        <v>7207</v>
      </c>
      <c r="T61" s="126">
        <f t="shared" si="9"/>
        <v>14053.080645161288</v>
      </c>
    </row>
    <row r="62" spans="1:20" s="6" customFormat="1" ht="54.75" customHeight="1" x14ac:dyDescent="0.5">
      <c r="A62" s="120">
        <v>60</v>
      </c>
      <c r="B62" s="121">
        <v>4059</v>
      </c>
      <c r="C62" s="122" t="s">
        <v>403</v>
      </c>
      <c r="D62" s="122" t="s">
        <v>404</v>
      </c>
      <c r="E62" s="122" t="s">
        <v>41</v>
      </c>
      <c r="F62" s="123">
        <v>14000</v>
      </c>
      <c r="G62" s="124">
        <v>20</v>
      </c>
      <c r="H62" s="125">
        <v>74.5</v>
      </c>
      <c r="I62" s="126">
        <f t="shared" si="0"/>
        <v>9032.2580645161288</v>
      </c>
      <c r="J62" s="126">
        <f t="shared" si="1"/>
        <v>4205.6451612903229</v>
      </c>
      <c r="K62" s="126">
        <f t="shared" si="6"/>
        <v>13237.903225806451</v>
      </c>
      <c r="L62" s="127">
        <v>5</v>
      </c>
      <c r="M62" s="127">
        <v>0</v>
      </c>
      <c r="N62" s="127">
        <v>1000</v>
      </c>
      <c r="O62" s="127">
        <v>0</v>
      </c>
      <c r="P62" s="127">
        <v>41</v>
      </c>
      <c r="Q62" s="129"/>
      <c r="R62" s="126">
        <f t="shared" si="7"/>
        <v>13237.903225806451</v>
      </c>
      <c r="S62" s="126">
        <f t="shared" si="8"/>
        <v>1046</v>
      </c>
      <c r="T62" s="126">
        <f t="shared" si="9"/>
        <v>12191.903225806451</v>
      </c>
    </row>
    <row r="63" spans="1:20" s="6" customFormat="1" ht="54.75" customHeight="1" x14ac:dyDescent="0.5">
      <c r="A63" s="120">
        <v>61</v>
      </c>
      <c r="B63" s="132">
        <v>2702</v>
      </c>
      <c r="C63" s="133" t="s">
        <v>90</v>
      </c>
      <c r="D63" s="133" t="s">
        <v>91</v>
      </c>
      <c r="E63" s="133" t="s">
        <v>92</v>
      </c>
      <c r="F63" s="134">
        <v>9000</v>
      </c>
      <c r="G63" s="132"/>
      <c r="H63" s="132"/>
      <c r="I63" s="126">
        <f t="shared" si="0"/>
        <v>0</v>
      </c>
      <c r="J63" s="126">
        <f t="shared" si="1"/>
        <v>0</v>
      </c>
      <c r="K63" s="135">
        <v>9000</v>
      </c>
      <c r="L63" s="127">
        <v>5</v>
      </c>
      <c r="M63" s="127">
        <v>0</v>
      </c>
      <c r="N63" s="127">
        <v>0</v>
      </c>
      <c r="O63" s="127">
        <v>0</v>
      </c>
      <c r="P63" s="127">
        <v>114</v>
      </c>
      <c r="Q63" s="136"/>
      <c r="R63" s="126">
        <f t="shared" si="7"/>
        <v>9000</v>
      </c>
      <c r="S63" s="126">
        <f t="shared" si="8"/>
        <v>119</v>
      </c>
      <c r="T63" s="126">
        <f t="shared" si="9"/>
        <v>8881</v>
      </c>
    </row>
    <row r="64" spans="1:20" s="6" customFormat="1" ht="54.75" customHeight="1" x14ac:dyDescent="0.5">
      <c r="A64" s="120">
        <v>62</v>
      </c>
      <c r="B64" s="132">
        <v>2913</v>
      </c>
      <c r="C64" s="133" t="s">
        <v>107</v>
      </c>
      <c r="D64" s="133" t="s">
        <v>108</v>
      </c>
      <c r="E64" s="133" t="s">
        <v>92</v>
      </c>
      <c r="F64" s="134">
        <v>9000</v>
      </c>
      <c r="G64" s="132">
        <v>27</v>
      </c>
      <c r="H64" s="132">
        <v>42</v>
      </c>
      <c r="I64" s="126">
        <f t="shared" si="0"/>
        <v>7838.7096774193542</v>
      </c>
      <c r="J64" s="126">
        <f t="shared" si="1"/>
        <v>1524.1935483870968</v>
      </c>
      <c r="K64" s="135">
        <v>15330</v>
      </c>
      <c r="L64" s="127">
        <v>5</v>
      </c>
      <c r="M64" s="127">
        <v>0</v>
      </c>
      <c r="N64" s="127">
        <v>2500</v>
      </c>
      <c r="O64" s="127">
        <v>0</v>
      </c>
      <c r="P64" s="127">
        <v>99</v>
      </c>
      <c r="Q64" s="129"/>
      <c r="R64" s="126">
        <f t="shared" si="7"/>
        <v>15330</v>
      </c>
      <c r="S64" s="126">
        <f t="shared" si="8"/>
        <v>2604</v>
      </c>
      <c r="T64" s="126">
        <f t="shared" si="9"/>
        <v>12726</v>
      </c>
    </row>
    <row r="65" spans="1:20" s="6" customFormat="1" ht="54.75" customHeight="1" x14ac:dyDescent="0.5">
      <c r="A65" s="120">
        <v>63</v>
      </c>
      <c r="B65" s="132">
        <v>3359</v>
      </c>
      <c r="C65" s="133" t="s">
        <v>135</v>
      </c>
      <c r="D65" s="133" t="s">
        <v>136</v>
      </c>
      <c r="E65" s="133" t="s">
        <v>92</v>
      </c>
      <c r="F65" s="134">
        <v>9500</v>
      </c>
      <c r="G65" s="132">
        <v>20</v>
      </c>
      <c r="H65" s="132">
        <v>33</v>
      </c>
      <c r="I65" s="126">
        <f t="shared" ref="I65:I127" si="10">F65/31*G65</f>
        <v>6129.0322580645161</v>
      </c>
      <c r="J65" s="126">
        <f t="shared" ref="J65:J127" si="11">F65/31/8*H65</f>
        <v>1264.1129032258063</v>
      </c>
      <c r="K65" s="135">
        <v>20300</v>
      </c>
      <c r="L65" s="127">
        <v>5</v>
      </c>
      <c r="M65" s="127">
        <v>0</v>
      </c>
      <c r="N65" s="127">
        <v>2000</v>
      </c>
      <c r="O65" s="127">
        <v>0</v>
      </c>
      <c r="P65" s="127">
        <v>77</v>
      </c>
      <c r="Q65" s="129"/>
      <c r="R65" s="126">
        <f t="shared" ref="R65:R96" si="12">K65</f>
        <v>20300</v>
      </c>
      <c r="S65" s="126">
        <f t="shared" ref="S65:S96" si="13">L65+M65+N65+O65+P65+Q65</f>
        <v>2082</v>
      </c>
      <c r="T65" s="126">
        <f t="shared" ref="T65:T96" si="14">R65-S65</f>
        <v>18218</v>
      </c>
    </row>
    <row r="66" spans="1:20" s="6" customFormat="1" ht="54.75" customHeight="1" x14ac:dyDescent="0.5">
      <c r="A66" s="120">
        <v>64</v>
      </c>
      <c r="B66" s="132">
        <v>3433</v>
      </c>
      <c r="C66" s="133" t="s">
        <v>148</v>
      </c>
      <c r="D66" s="133" t="s">
        <v>149</v>
      </c>
      <c r="E66" s="133" t="s">
        <v>92</v>
      </c>
      <c r="F66" s="134">
        <v>9500</v>
      </c>
      <c r="G66" s="132"/>
      <c r="H66" s="132"/>
      <c r="I66" s="126">
        <f t="shared" si="10"/>
        <v>0</v>
      </c>
      <c r="J66" s="126">
        <f t="shared" si="11"/>
        <v>0</v>
      </c>
      <c r="K66" s="135">
        <v>12990</v>
      </c>
      <c r="L66" s="127">
        <v>5</v>
      </c>
      <c r="M66" s="127">
        <v>0</v>
      </c>
      <c r="N66" s="127">
        <v>2000</v>
      </c>
      <c r="O66" s="127">
        <v>0</v>
      </c>
      <c r="P66" s="127">
        <v>99</v>
      </c>
      <c r="Q66" s="129"/>
      <c r="R66" s="126">
        <f t="shared" si="12"/>
        <v>12990</v>
      </c>
      <c r="S66" s="126">
        <f t="shared" si="13"/>
        <v>2104</v>
      </c>
      <c r="T66" s="126">
        <f t="shared" si="14"/>
        <v>10886</v>
      </c>
    </row>
    <row r="67" spans="1:20" s="6" customFormat="1" ht="54.75" customHeight="1" x14ac:dyDescent="0.5">
      <c r="A67" s="120">
        <v>65</v>
      </c>
      <c r="B67" s="132">
        <v>3436</v>
      </c>
      <c r="C67" s="133" t="s">
        <v>150</v>
      </c>
      <c r="D67" s="133" t="s">
        <v>151</v>
      </c>
      <c r="E67" s="133" t="s">
        <v>92</v>
      </c>
      <c r="F67" s="134">
        <v>9500</v>
      </c>
      <c r="G67" s="132"/>
      <c r="H67" s="132"/>
      <c r="I67" s="126">
        <f t="shared" si="10"/>
        <v>0</v>
      </c>
      <c r="J67" s="126">
        <f t="shared" si="11"/>
        <v>0</v>
      </c>
      <c r="K67" s="135">
        <v>20150</v>
      </c>
      <c r="L67" s="127">
        <v>5</v>
      </c>
      <c r="M67" s="127">
        <v>0</v>
      </c>
      <c r="N67" s="127">
        <v>2500</v>
      </c>
      <c r="O67" s="127">
        <v>0</v>
      </c>
      <c r="P67" s="127">
        <v>99</v>
      </c>
      <c r="Q67" s="129"/>
      <c r="R67" s="126">
        <f t="shared" si="12"/>
        <v>20150</v>
      </c>
      <c r="S67" s="126">
        <f t="shared" si="13"/>
        <v>2604</v>
      </c>
      <c r="T67" s="126">
        <f t="shared" si="14"/>
        <v>17546</v>
      </c>
    </row>
    <row r="68" spans="1:20" s="6" customFormat="1" ht="54.75" customHeight="1" x14ac:dyDescent="0.5">
      <c r="A68" s="120">
        <v>66</v>
      </c>
      <c r="B68" s="132">
        <v>3659</v>
      </c>
      <c r="C68" s="133" t="s">
        <v>182</v>
      </c>
      <c r="D68" s="133" t="s">
        <v>183</v>
      </c>
      <c r="E68" s="133" t="s">
        <v>92</v>
      </c>
      <c r="F68" s="134">
        <v>9500</v>
      </c>
      <c r="G68" s="132"/>
      <c r="H68" s="132"/>
      <c r="I68" s="126">
        <f t="shared" si="10"/>
        <v>0</v>
      </c>
      <c r="J68" s="126">
        <f t="shared" si="11"/>
        <v>0</v>
      </c>
      <c r="K68" s="135">
        <v>25000</v>
      </c>
      <c r="L68" s="127">
        <v>5</v>
      </c>
      <c r="M68" s="127">
        <v>0</v>
      </c>
      <c r="N68" s="127">
        <v>2000</v>
      </c>
      <c r="O68" s="127">
        <v>0</v>
      </c>
      <c r="P68" s="127">
        <v>92</v>
      </c>
      <c r="Q68" s="129"/>
      <c r="R68" s="126">
        <f t="shared" si="12"/>
        <v>25000</v>
      </c>
      <c r="S68" s="126">
        <f t="shared" si="13"/>
        <v>2097</v>
      </c>
      <c r="T68" s="126">
        <f t="shared" si="14"/>
        <v>22903</v>
      </c>
    </row>
    <row r="69" spans="1:20" s="6" customFormat="1" ht="54.75" customHeight="1" x14ac:dyDescent="0.5">
      <c r="A69" s="120">
        <v>67</v>
      </c>
      <c r="B69" s="132">
        <v>3685</v>
      </c>
      <c r="C69" s="133" t="s">
        <v>193</v>
      </c>
      <c r="D69" s="133" t="s">
        <v>194</v>
      </c>
      <c r="E69" s="133" t="s">
        <v>92</v>
      </c>
      <c r="F69" s="134">
        <v>9500</v>
      </c>
      <c r="G69" s="132"/>
      <c r="H69" s="132"/>
      <c r="I69" s="126">
        <f t="shared" si="10"/>
        <v>0</v>
      </c>
      <c r="J69" s="126">
        <f t="shared" si="11"/>
        <v>0</v>
      </c>
      <c r="K69" s="135">
        <v>20000</v>
      </c>
      <c r="L69" s="127">
        <v>5</v>
      </c>
      <c r="M69" s="127">
        <v>0</v>
      </c>
      <c r="N69" s="127">
        <v>2500</v>
      </c>
      <c r="O69" s="127">
        <v>0</v>
      </c>
      <c r="P69" s="127">
        <v>103</v>
      </c>
      <c r="Q69" s="129"/>
      <c r="R69" s="126">
        <f t="shared" si="12"/>
        <v>20000</v>
      </c>
      <c r="S69" s="126">
        <f t="shared" si="13"/>
        <v>2608</v>
      </c>
      <c r="T69" s="126">
        <f t="shared" si="14"/>
        <v>17392</v>
      </c>
    </row>
    <row r="70" spans="1:20" s="6" customFormat="1" ht="54.75" customHeight="1" x14ac:dyDescent="0.5">
      <c r="A70" s="120">
        <v>68</v>
      </c>
      <c r="B70" s="132">
        <v>3729</v>
      </c>
      <c r="C70" s="133" t="s">
        <v>201</v>
      </c>
      <c r="D70" s="133" t="s">
        <v>202</v>
      </c>
      <c r="E70" s="133" t="s">
        <v>92</v>
      </c>
      <c r="F70" s="134">
        <v>9500</v>
      </c>
      <c r="G70" s="132"/>
      <c r="H70" s="132"/>
      <c r="I70" s="126">
        <f t="shared" si="10"/>
        <v>0</v>
      </c>
      <c r="J70" s="126">
        <f t="shared" si="11"/>
        <v>0</v>
      </c>
      <c r="K70" s="135">
        <v>20650</v>
      </c>
      <c r="L70" s="127">
        <v>5</v>
      </c>
      <c r="M70" s="127">
        <v>0</v>
      </c>
      <c r="N70" s="127">
        <v>2500</v>
      </c>
      <c r="O70" s="127">
        <v>0</v>
      </c>
      <c r="P70" s="127">
        <v>95</v>
      </c>
      <c r="Q70" s="129"/>
      <c r="R70" s="126">
        <f t="shared" si="12"/>
        <v>20650</v>
      </c>
      <c r="S70" s="126">
        <f t="shared" si="13"/>
        <v>2600</v>
      </c>
      <c r="T70" s="126">
        <f t="shared" si="14"/>
        <v>18050</v>
      </c>
    </row>
    <row r="71" spans="1:20" s="6" customFormat="1" ht="54.75" customHeight="1" x14ac:dyDescent="0.5">
      <c r="A71" s="120">
        <v>69</v>
      </c>
      <c r="B71" s="132">
        <v>3910</v>
      </c>
      <c r="C71" s="133" t="s">
        <v>252</v>
      </c>
      <c r="D71" s="133" t="s">
        <v>253</v>
      </c>
      <c r="E71" s="133" t="s">
        <v>92</v>
      </c>
      <c r="F71" s="134">
        <v>9500</v>
      </c>
      <c r="G71" s="132"/>
      <c r="H71" s="132"/>
      <c r="I71" s="126">
        <f t="shared" si="10"/>
        <v>0</v>
      </c>
      <c r="J71" s="126">
        <f t="shared" si="11"/>
        <v>0</v>
      </c>
      <c r="K71" s="135">
        <v>25000</v>
      </c>
      <c r="L71" s="127">
        <v>5</v>
      </c>
      <c r="M71" s="127">
        <v>0</v>
      </c>
      <c r="N71" s="127">
        <v>2500</v>
      </c>
      <c r="O71" s="127">
        <v>0</v>
      </c>
      <c r="P71" s="127">
        <v>110</v>
      </c>
      <c r="Q71" s="129"/>
      <c r="R71" s="126">
        <f t="shared" si="12"/>
        <v>25000</v>
      </c>
      <c r="S71" s="126">
        <f t="shared" si="13"/>
        <v>2615</v>
      </c>
      <c r="T71" s="126">
        <f t="shared" si="14"/>
        <v>22385</v>
      </c>
    </row>
    <row r="72" spans="1:20" s="6" customFormat="1" ht="54.75" customHeight="1" x14ac:dyDescent="0.5">
      <c r="A72" s="120">
        <v>70</v>
      </c>
      <c r="B72" s="132">
        <v>3945</v>
      </c>
      <c r="C72" s="133" t="s">
        <v>275</v>
      </c>
      <c r="D72" s="133" t="s">
        <v>276</v>
      </c>
      <c r="E72" s="133" t="s">
        <v>92</v>
      </c>
      <c r="F72" s="134">
        <v>9500</v>
      </c>
      <c r="G72" s="132"/>
      <c r="H72" s="132"/>
      <c r="I72" s="126">
        <f t="shared" si="10"/>
        <v>0</v>
      </c>
      <c r="J72" s="126">
        <f t="shared" si="11"/>
        <v>0</v>
      </c>
      <c r="K72" s="135">
        <v>11250</v>
      </c>
      <c r="L72" s="127">
        <v>5</v>
      </c>
      <c r="M72" s="127">
        <v>0</v>
      </c>
      <c r="N72" s="127">
        <v>1500</v>
      </c>
      <c r="O72" s="127">
        <v>0</v>
      </c>
      <c r="P72" s="127">
        <v>99</v>
      </c>
      <c r="Q72" s="129"/>
      <c r="R72" s="126">
        <f t="shared" si="12"/>
        <v>11250</v>
      </c>
      <c r="S72" s="126">
        <f t="shared" si="13"/>
        <v>1604</v>
      </c>
      <c r="T72" s="126">
        <f t="shared" si="14"/>
        <v>9646</v>
      </c>
    </row>
    <row r="73" spans="1:20" s="6" customFormat="1" ht="54.75" customHeight="1" x14ac:dyDescent="0.5">
      <c r="A73" s="120">
        <v>71</v>
      </c>
      <c r="B73" s="132">
        <v>3948</v>
      </c>
      <c r="C73" s="133" t="s">
        <v>279</v>
      </c>
      <c r="D73" s="133" t="s">
        <v>280</v>
      </c>
      <c r="E73" s="133" t="s">
        <v>92</v>
      </c>
      <c r="F73" s="134">
        <v>9500</v>
      </c>
      <c r="G73" s="132"/>
      <c r="H73" s="132"/>
      <c r="I73" s="126">
        <f t="shared" si="10"/>
        <v>0</v>
      </c>
      <c r="J73" s="126">
        <f t="shared" si="11"/>
        <v>0</v>
      </c>
      <c r="K73" s="135">
        <v>25000</v>
      </c>
      <c r="L73" s="127">
        <v>5</v>
      </c>
      <c r="M73" s="127">
        <v>0</v>
      </c>
      <c r="N73" s="127">
        <v>2000</v>
      </c>
      <c r="O73" s="127">
        <v>0</v>
      </c>
      <c r="P73" s="127">
        <v>103</v>
      </c>
      <c r="Q73" s="129"/>
      <c r="R73" s="126">
        <f t="shared" si="12"/>
        <v>25000</v>
      </c>
      <c r="S73" s="126">
        <f t="shared" si="13"/>
        <v>2108</v>
      </c>
      <c r="T73" s="126">
        <f t="shared" si="14"/>
        <v>22892</v>
      </c>
    </row>
    <row r="74" spans="1:20" s="6" customFormat="1" ht="54.75" customHeight="1" x14ac:dyDescent="0.5">
      <c r="A74" s="120">
        <v>72</v>
      </c>
      <c r="B74" s="132">
        <v>4017</v>
      </c>
      <c r="C74" s="133" t="s">
        <v>331</v>
      </c>
      <c r="D74" s="133" t="s">
        <v>332</v>
      </c>
      <c r="E74" s="133" t="s">
        <v>92</v>
      </c>
      <c r="F74" s="134">
        <v>9500</v>
      </c>
      <c r="G74" s="132"/>
      <c r="H74" s="132"/>
      <c r="I74" s="126">
        <f t="shared" si="10"/>
        <v>0</v>
      </c>
      <c r="J74" s="126">
        <f t="shared" si="11"/>
        <v>0</v>
      </c>
      <c r="K74" s="135">
        <v>11350</v>
      </c>
      <c r="L74" s="127">
        <v>5</v>
      </c>
      <c r="M74" s="127">
        <v>0</v>
      </c>
      <c r="N74" s="127">
        <v>0</v>
      </c>
      <c r="O74" s="127">
        <v>0</v>
      </c>
      <c r="P74" s="127">
        <v>95</v>
      </c>
      <c r="Q74" s="129"/>
      <c r="R74" s="126">
        <f t="shared" si="12"/>
        <v>11350</v>
      </c>
      <c r="S74" s="126">
        <f t="shared" si="13"/>
        <v>100</v>
      </c>
      <c r="T74" s="126">
        <f t="shared" si="14"/>
        <v>11250</v>
      </c>
    </row>
    <row r="75" spans="1:20" s="6" customFormat="1" ht="54.75" customHeight="1" x14ac:dyDescent="0.5">
      <c r="A75" s="120">
        <v>73</v>
      </c>
      <c r="B75" s="132">
        <v>4019</v>
      </c>
      <c r="C75" s="133" t="s">
        <v>335</v>
      </c>
      <c r="D75" s="133" t="s">
        <v>336</v>
      </c>
      <c r="E75" s="133" t="s">
        <v>92</v>
      </c>
      <c r="F75" s="134">
        <v>9500</v>
      </c>
      <c r="G75" s="132"/>
      <c r="H75" s="132"/>
      <c r="I75" s="126">
        <f t="shared" si="10"/>
        <v>0</v>
      </c>
      <c r="J75" s="126">
        <f t="shared" si="11"/>
        <v>0</v>
      </c>
      <c r="K75" s="135">
        <v>23200</v>
      </c>
      <c r="L75" s="127">
        <v>5</v>
      </c>
      <c r="M75" s="127">
        <v>0</v>
      </c>
      <c r="N75" s="127">
        <v>2500</v>
      </c>
      <c r="O75" s="127">
        <v>0</v>
      </c>
      <c r="P75" s="127">
        <v>114</v>
      </c>
      <c r="Q75" s="129"/>
      <c r="R75" s="126">
        <f t="shared" si="12"/>
        <v>23200</v>
      </c>
      <c r="S75" s="126">
        <f t="shared" si="13"/>
        <v>2619</v>
      </c>
      <c r="T75" s="126">
        <f t="shared" si="14"/>
        <v>20581</v>
      </c>
    </row>
    <row r="76" spans="1:20" s="6" customFormat="1" ht="54.75" customHeight="1" x14ac:dyDescent="0.5">
      <c r="A76" s="120">
        <v>74</v>
      </c>
      <c r="B76" s="132">
        <v>4049</v>
      </c>
      <c r="C76" s="133" t="s">
        <v>384</v>
      </c>
      <c r="D76" s="133" t="s">
        <v>385</v>
      </c>
      <c r="E76" s="133" t="s">
        <v>92</v>
      </c>
      <c r="F76" s="134">
        <v>9500</v>
      </c>
      <c r="G76" s="132"/>
      <c r="H76" s="132"/>
      <c r="I76" s="126">
        <f t="shared" si="10"/>
        <v>0</v>
      </c>
      <c r="J76" s="126">
        <f t="shared" si="11"/>
        <v>0</v>
      </c>
      <c r="K76" s="135">
        <v>25800</v>
      </c>
      <c r="L76" s="127">
        <v>5</v>
      </c>
      <c r="M76" s="127">
        <v>0</v>
      </c>
      <c r="N76" s="127">
        <v>2500</v>
      </c>
      <c r="O76" s="127">
        <v>0</v>
      </c>
      <c r="P76" s="127">
        <v>70</v>
      </c>
      <c r="Q76" s="129"/>
      <c r="R76" s="126">
        <f t="shared" si="12"/>
        <v>25800</v>
      </c>
      <c r="S76" s="126">
        <f t="shared" si="13"/>
        <v>2575</v>
      </c>
      <c r="T76" s="126">
        <f t="shared" si="14"/>
        <v>23225</v>
      </c>
    </row>
    <row r="77" spans="1:20" s="6" customFormat="1" ht="54.75" customHeight="1" x14ac:dyDescent="0.5">
      <c r="A77" s="120">
        <v>75</v>
      </c>
      <c r="B77" s="121">
        <v>1417</v>
      </c>
      <c r="C77" s="122" t="s">
        <v>46</v>
      </c>
      <c r="D77" s="122" t="s">
        <v>47</v>
      </c>
      <c r="E77" s="122" t="s">
        <v>48</v>
      </c>
      <c r="F77" s="123">
        <v>19600</v>
      </c>
      <c r="G77" s="124">
        <v>30</v>
      </c>
      <c r="H77" s="125">
        <v>112.5</v>
      </c>
      <c r="I77" s="126">
        <f t="shared" si="10"/>
        <v>18967.741935483871</v>
      </c>
      <c r="J77" s="126">
        <f t="shared" si="11"/>
        <v>8891.1290322580644</v>
      </c>
      <c r="K77" s="126">
        <f t="shared" ref="K77:K108" si="15">I77+J77</f>
        <v>27858.870967741936</v>
      </c>
      <c r="L77" s="127">
        <v>5</v>
      </c>
      <c r="M77" s="127">
        <v>0</v>
      </c>
      <c r="N77" s="127">
        <v>0</v>
      </c>
      <c r="O77" s="127">
        <v>1800</v>
      </c>
      <c r="P77" s="127">
        <v>153</v>
      </c>
      <c r="Q77" s="129"/>
      <c r="R77" s="126">
        <f t="shared" si="12"/>
        <v>27858.870967741936</v>
      </c>
      <c r="S77" s="126">
        <f t="shared" si="13"/>
        <v>1958</v>
      </c>
      <c r="T77" s="126">
        <f t="shared" si="14"/>
        <v>25900.870967741936</v>
      </c>
    </row>
    <row r="78" spans="1:20" s="6" customFormat="1" ht="54.75" customHeight="1" x14ac:dyDescent="0.5">
      <c r="A78" s="120">
        <v>76</v>
      </c>
      <c r="B78" s="121">
        <v>2945</v>
      </c>
      <c r="C78" s="122" t="s">
        <v>111</v>
      </c>
      <c r="D78" s="122" t="s">
        <v>112</v>
      </c>
      <c r="E78" s="122" t="s">
        <v>48</v>
      </c>
      <c r="F78" s="123">
        <v>14300</v>
      </c>
      <c r="G78" s="124">
        <v>31</v>
      </c>
      <c r="H78" s="125">
        <v>131.5</v>
      </c>
      <c r="I78" s="126">
        <f t="shared" si="10"/>
        <v>14300</v>
      </c>
      <c r="J78" s="126">
        <f t="shared" si="11"/>
        <v>7582.4596774193551</v>
      </c>
      <c r="K78" s="126">
        <f t="shared" si="15"/>
        <v>21882.459677419356</v>
      </c>
      <c r="L78" s="127">
        <v>5</v>
      </c>
      <c r="M78" s="127">
        <v>0</v>
      </c>
      <c r="N78" s="127">
        <v>0</v>
      </c>
      <c r="O78" s="127">
        <v>0</v>
      </c>
      <c r="P78" s="127">
        <v>116</v>
      </c>
      <c r="Q78" s="129"/>
      <c r="R78" s="126">
        <f t="shared" si="12"/>
        <v>21882.459677419356</v>
      </c>
      <c r="S78" s="126">
        <f t="shared" si="13"/>
        <v>121</v>
      </c>
      <c r="T78" s="126">
        <f t="shared" si="14"/>
        <v>21761.459677419356</v>
      </c>
    </row>
    <row r="79" spans="1:20" s="6" customFormat="1" ht="54.75" customHeight="1" x14ac:dyDescent="0.5">
      <c r="A79" s="120">
        <v>77</v>
      </c>
      <c r="B79" s="121">
        <v>3023</v>
      </c>
      <c r="C79" s="122" t="s">
        <v>117</v>
      </c>
      <c r="D79" s="122" t="s">
        <v>118</v>
      </c>
      <c r="E79" s="122" t="s">
        <v>48</v>
      </c>
      <c r="F79" s="123">
        <v>24000</v>
      </c>
      <c r="G79" s="124">
        <v>31</v>
      </c>
      <c r="H79" s="124">
        <v>131</v>
      </c>
      <c r="I79" s="126">
        <f t="shared" si="10"/>
        <v>24000</v>
      </c>
      <c r="J79" s="126">
        <f t="shared" si="11"/>
        <v>12677.41935483871</v>
      </c>
      <c r="K79" s="126">
        <f t="shared" si="15"/>
        <v>36677.419354838712</v>
      </c>
      <c r="L79" s="127">
        <v>5</v>
      </c>
      <c r="M79" s="127">
        <v>200</v>
      </c>
      <c r="N79" s="127">
        <v>0</v>
      </c>
      <c r="O79" s="127">
        <v>0</v>
      </c>
      <c r="P79" s="127">
        <v>197</v>
      </c>
      <c r="Q79" s="129"/>
      <c r="R79" s="126">
        <f t="shared" si="12"/>
        <v>36677.419354838712</v>
      </c>
      <c r="S79" s="126">
        <f t="shared" si="13"/>
        <v>402</v>
      </c>
      <c r="T79" s="126">
        <f t="shared" si="14"/>
        <v>36275.419354838712</v>
      </c>
    </row>
    <row r="80" spans="1:20" s="6" customFormat="1" ht="54.75" customHeight="1" x14ac:dyDescent="0.5">
      <c r="A80" s="120">
        <v>78</v>
      </c>
      <c r="B80" s="121">
        <v>3383</v>
      </c>
      <c r="C80" s="122" t="s">
        <v>144</v>
      </c>
      <c r="D80" s="122" t="s">
        <v>145</v>
      </c>
      <c r="E80" s="122" t="s">
        <v>48</v>
      </c>
      <c r="F80" s="123">
        <v>13000</v>
      </c>
      <c r="G80" s="124">
        <v>29</v>
      </c>
      <c r="H80" s="125">
        <v>95.5</v>
      </c>
      <c r="I80" s="126">
        <f t="shared" si="10"/>
        <v>12161.290322580646</v>
      </c>
      <c r="J80" s="126">
        <f t="shared" si="11"/>
        <v>5006.0483870967746</v>
      </c>
      <c r="K80" s="126">
        <f t="shared" si="15"/>
        <v>17167.33870967742</v>
      </c>
      <c r="L80" s="127">
        <v>5</v>
      </c>
      <c r="M80" s="127">
        <v>0</v>
      </c>
      <c r="N80" s="127">
        <v>4000</v>
      </c>
      <c r="O80" s="127">
        <v>0</v>
      </c>
      <c r="P80" s="127">
        <v>107</v>
      </c>
      <c r="Q80" s="129"/>
      <c r="R80" s="126">
        <f t="shared" si="12"/>
        <v>17167.33870967742</v>
      </c>
      <c r="S80" s="126">
        <f t="shared" si="13"/>
        <v>4112</v>
      </c>
      <c r="T80" s="126">
        <f t="shared" si="14"/>
        <v>13055.33870967742</v>
      </c>
    </row>
    <row r="81" spans="1:20" s="6" customFormat="1" ht="54.75" customHeight="1" x14ac:dyDescent="0.5">
      <c r="A81" s="120">
        <v>79</v>
      </c>
      <c r="B81" s="137">
        <v>3643</v>
      </c>
      <c r="C81" s="138" t="s">
        <v>176</v>
      </c>
      <c r="D81" s="122" t="s">
        <v>177</v>
      </c>
      <c r="E81" s="122" t="s">
        <v>48</v>
      </c>
      <c r="F81" s="123">
        <v>15005</v>
      </c>
      <c r="G81" s="124">
        <v>31</v>
      </c>
      <c r="H81" s="125"/>
      <c r="I81" s="126">
        <f t="shared" si="10"/>
        <v>15005</v>
      </c>
      <c r="J81" s="126">
        <f t="shared" si="11"/>
        <v>0</v>
      </c>
      <c r="K81" s="126">
        <f t="shared" si="15"/>
        <v>15005</v>
      </c>
      <c r="L81" s="127">
        <v>5</v>
      </c>
      <c r="M81" s="127">
        <v>0</v>
      </c>
      <c r="N81" s="127">
        <v>0</v>
      </c>
      <c r="O81" s="127">
        <v>0</v>
      </c>
      <c r="P81" s="127">
        <v>0</v>
      </c>
      <c r="Q81" s="129"/>
      <c r="R81" s="126">
        <f t="shared" si="12"/>
        <v>15005</v>
      </c>
      <c r="S81" s="126">
        <f t="shared" si="13"/>
        <v>5</v>
      </c>
      <c r="T81" s="126">
        <f t="shared" si="14"/>
        <v>15000</v>
      </c>
    </row>
    <row r="82" spans="1:20" s="6" customFormat="1" ht="54.75" customHeight="1" x14ac:dyDescent="0.5">
      <c r="A82" s="120">
        <v>80</v>
      </c>
      <c r="B82" s="121">
        <v>3725</v>
      </c>
      <c r="C82" s="122" t="s">
        <v>199</v>
      </c>
      <c r="D82" s="122" t="s">
        <v>200</v>
      </c>
      <c r="E82" s="122" t="s">
        <v>48</v>
      </c>
      <c r="F82" s="123">
        <v>13000</v>
      </c>
      <c r="G82" s="124">
        <v>5</v>
      </c>
      <c r="H82" s="125">
        <v>18</v>
      </c>
      <c r="I82" s="126">
        <f t="shared" si="10"/>
        <v>2096.7741935483873</v>
      </c>
      <c r="J82" s="126">
        <f t="shared" si="11"/>
        <v>943.54838709677426</v>
      </c>
      <c r="K82" s="126">
        <f t="shared" si="15"/>
        <v>3040.3225806451615</v>
      </c>
      <c r="L82" s="127">
        <v>5</v>
      </c>
      <c r="M82" s="127">
        <v>0</v>
      </c>
      <c r="N82" s="127">
        <v>0</v>
      </c>
      <c r="O82" s="127">
        <v>0</v>
      </c>
      <c r="P82" s="127">
        <v>33</v>
      </c>
      <c r="Q82" s="129"/>
      <c r="R82" s="126">
        <f t="shared" si="12"/>
        <v>3040.3225806451615</v>
      </c>
      <c r="S82" s="126">
        <f t="shared" si="13"/>
        <v>38</v>
      </c>
      <c r="T82" s="126">
        <f t="shared" si="14"/>
        <v>3002.3225806451615</v>
      </c>
    </row>
    <row r="83" spans="1:20" s="6" customFormat="1" ht="54.75" customHeight="1" x14ac:dyDescent="0.5">
      <c r="A83" s="120">
        <v>81</v>
      </c>
      <c r="B83" s="121">
        <v>3951</v>
      </c>
      <c r="C83" s="122" t="s">
        <v>281</v>
      </c>
      <c r="D83" s="122" t="s">
        <v>282</v>
      </c>
      <c r="E83" s="122" t="s">
        <v>48</v>
      </c>
      <c r="F83" s="123">
        <v>14000</v>
      </c>
      <c r="G83" s="124">
        <v>20</v>
      </c>
      <c r="H83" s="125">
        <v>74</v>
      </c>
      <c r="I83" s="126">
        <f t="shared" si="10"/>
        <v>9032.2580645161288</v>
      </c>
      <c r="J83" s="126">
        <f t="shared" si="11"/>
        <v>4177.4193548387102</v>
      </c>
      <c r="K83" s="126">
        <f t="shared" si="15"/>
        <v>13209.677419354839</v>
      </c>
      <c r="L83" s="127">
        <v>5</v>
      </c>
      <c r="M83" s="127">
        <v>0</v>
      </c>
      <c r="N83" s="127">
        <v>2000</v>
      </c>
      <c r="O83" s="127">
        <v>0</v>
      </c>
      <c r="P83" s="127">
        <v>82</v>
      </c>
      <c r="Q83" s="129"/>
      <c r="R83" s="126">
        <f t="shared" si="12"/>
        <v>13209.677419354839</v>
      </c>
      <c r="S83" s="126">
        <f t="shared" si="13"/>
        <v>2087</v>
      </c>
      <c r="T83" s="126">
        <f t="shared" si="14"/>
        <v>11122.677419354839</v>
      </c>
    </row>
    <row r="84" spans="1:20" s="6" customFormat="1" ht="54.75" customHeight="1" x14ac:dyDescent="0.5">
      <c r="A84" s="120">
        <v>82</v>
      </c>
      <c r="B84" s="121">
        <v>3955</v>
      </c>
      <c r="C84" s="122" t="s">
        <v>285</v>
      </c>
      <c r="D84" s="122" t="s">
        <v>286</v>
      </c>
      <c r="E84" s="122" t="s">
        <v>48</v>
      </c>
      <c r="F84" s="123">
        <v>12500</v>
      </c>
      <c r="G84" s="124">
        <v>31</v>
      </c>
      <c r="H84" s="125">
        <v>136.5</v>
      </c>
      <c r="I84" s="126">
        <f t="shared" si="10"/>
        <v>12500</v>
      </c>
      <c r="J84" s="126">
        <f t="shared" si="11"/>
        <v>6880.0403225806458</v>
      </c>
      <c r="K84" s="126">
        <f t="shared" si="15"/>
        <v>19380.040322580644</v>
      </c>
      <c r="L84" s="127">
        <v>5</v>
      </c>
      <c r="M84" s="127">
        <v>0</v>
      </c>
      <c r="N84" s="127">
        <v>4000</v>
      </c>
      <c r="O84" s="127">
        <v>0</v>
      </c>
      <c r="P84" s="127">
        <v>114</v>
      </c>
      <c r="Q84" s="129"/>
      <c r="R84" s="126">
        <f t="shared" si="12"/>
        <v>19380.040322580644</v>
      </c>
      <c r="S84" s="126">
        <f t="shared" si="13"/>
        <v>4119</v>
      </c>
      <c r="T84" s="126">
        <f t="shared" si="14"/>
        <v>15261.040322580644</v>
      </c>
    </row>
    <row r="85" spans="1:20" s="6" customFormat="1" ht="54.75" customHeight="1" x14ac:dyDescent="0.5">
      <c r="A85" s="120">
        <v>83</v>
      </c>
      <c r="B85" s="121">
        <v>3997</v>
      </c>
      <c r="C85" s="122" t="s">
        <v>313</v>
      </c>
      <c r="D85" s="122" t="s">
        <v>314</v>
      </c>
      <c r="E85" s="122" t="s">
        <v>48</v>
      </c>
      <c r="F85" s="123">
        <v>13800</v>
      </c>
      <c r="G85" s="124">
        <v>28</v>
      </c>
      <c r="H85" s="125">
        <v>107</v>
      </c>
      <c r="I85" s="126">
        <f t="shared" si="10"/>
        <v>12464.516129032259</v>
      </c>
      <c r="J85" s="126">
        <f t="shared" si="11"/>
        <v>5954.0322580645161</v>
      </c>
      <c r="K85" s="126">
        <f t="shared" si="15"/>
        <v>18418.548387096776</v>
      </c>
      <c r="L85" s="127">
        <v>5</v>
      </c>
      <c r="M85" s="127">
        <v>0</v>
      </c>
      <c r="N85" s="127">
        <v>0</v>
      </c>
      <c r="O85" s="127">
        <v>0</v>
      </c>
      <c r="P85" s="127">
        <v>103</v>
      </c>
      <c r="Q85" s="129"/>
      <c r="R85" s="126">
        <f t="shared" si="12"/>
        <v>18418.548387096776</v>
      </c>
      <c r="S85" s="126">
        <f t="shared" si="13"/>
        <v>108</v>
      </c>
      <c r="T85" s="126">
        <f t="shared" si="14"/>
        <v>18310.548387096776</v>
      </c>
    </row>
    <row r="86" spans="1:20" s="6" customFormat="1" ht="54.75" customHeight="1" x14ac:dyDescent="0.5">
      <c r="A86" s="120">
        <v>84</v>
      </c>
      <c r="B86" s="121">
        <v>631</v>
      </c>
      <c r="C86" s="122" t="s">
        <v>36</v>
      </c>
      <c r="D86" s="122" t="s">
        <v>37</v>
      </c>
      <c r="E86" s="122" t="s">
        <v>38</v>
      </c>
      <c r="F86" s="123">
        <v>15000</v>
      </c>
      <c r="G86" s="124">
        <v>31</v>
      </c>
      <c r="H86" s="125">
        <v>311.5</v>
      </c>
      <c r="I86" s="126">
        <f t="shared" si="10"/>
        <v>15000</v>
      </c>
      <c r="J86" s="126">
        <f t="shared" si="11"/>
        <v>18840.725806451614</v>
      </c>
      <c r="K86" s="126">
        <f t="shared" si="15"/>
        <v>33840.725806451614</v>
      </c>
      <c r="L86" s="127">
        <v>5</v>
      </c>
      <c r="M86" s="127">
        <v>200</v>
      </c>
      <c r="N86" s="127">
        <v>0</v>
      </c>
      <c r="O86" s="127">
        <v>1800</v>
      </c>
      <c r="P86" s="127">
        <v>124</v>
      </c>
      <c r="Q86" s="129"/>
      <c r="R86" s="126">
        <f t="shared" si="12"/>
        <v>33840.725806451614</v>
      </c>
      <c r="S86" s="126">
        <f t="shared" si="13"/>
        <v>2129</v>
      </c>
      <c r="T86" s="126">
        <f t="shared" si="14"/>
        <v>31711.725806451614</v>
      </c>
    </row>
    <row r="87" spans="1:20" s="6" customFormat="1" ht="54.75" customHeight="1" x14ac:dyDescent="0.5">
      <c r="A87" s="120">
        <v>85</v>
      </c>
      <c r="B87" s="121">
        <v>2210</v>
      </c>
      <c r="C87" s="122" t="s">
        <v>70</v>
      </c>
      <c r="D87" s="122" t="s">
        <v>71</v>
      </c>
      <c r="E87" s="122" t="s">
        <v>38</v>
      </c>
      <c r="F87" s="123">
        <v>15100</v>
      </c>
      <c r="G87" s="124">
        <v>16</v>
      </c>
      <c r="H87" s="125">
        <v>133.5</v>
      </c>
      <c r="I87" s="126">
        <f t="shared" si="10"/>
        <v>7793.5483870967746</v>
      </c>
      <c r="J87" s="126">
        <f t="shared" si="11"/>
        <v>8128.427419354839</v>
      </c>
      <c r="K87" s="126">
        <f t="shared" si="15"/>
        <v>15921.975806451614</v>
      </c>
      <c r="L87" s="127">
        <v>5</v>
      </c>
      <c r="M87" s="127">
        <v>0</v>
      </c>
      <c r="N87" s="127">
        <v>0</v>
      </c>
      <c r="O87" s="127">
        <v>0</v>
      </c>
      <c r="P87" s="127">
        <v>74</v>
      </c>
      <c r="Q87" s="129"/>
      <c r="R87" s="126">
        <f t="shared" si="12"/>
        <v>15921.975806451614</v>
      </c>
      <c r="S87" s="126">
        <f t="shared" si="13"/>
        <v>79</v>
      </c>
      <c r="T87" s="126">
        <f t="shared" si="14"/>
        <v>15842.975806451614</v>
      </c>
    </row>
    <row r="88" spans="1:20" s="6" customFormat="1" ht="54.75" customHeight="1" x14ac:dyDescent="0.5">
      <c r="A88" s="120">
        <v>86</v>
      </c>
      <c r="B88" s="121">
        <v>3618</v>
      </c>
      <c r="C88" s="122" t="s">
        <v>162</v>
      </c>
      <c r="D88" s="122" t="s">
        <v>163</v>
      </c>
      <c r="E88" s="122" t="s">
        <v>38</v>
      </c>
      <c r="F88" s="123">
        <v>15000</v>
      </c>
      <c r="G88" s="124">
        <v>31</v>
      </c>
      <c r="H88" s="125">
        <v>315</v>
      </c>
      <c r="I88" s="126">
        <f t="shared" si="10"/>
        <v>15000</v>
      </c>
      <c r="J88" s="126">
        <f t="shared" si="11"/>
        <v>19052.419354838708</v>
      </c>
      <c r="K88" s="126">
        <f t="shared" si="15"/>
        <v>34052.419354838712</v>
      </c>
      <c r="L88" s="127">
        <v>5</v>
      </c>
      <c r="M88" s="127">
        <v>0</v>
      </c>
      <c r="N88" s="127">
        <v>0</v>
      </c>
      <c r="O88" s="127">
        <v>0</v>
      </c>
      <c r="P88" s="127">
        <v>119</v>
      </c>
      <c r="Q88" s="129"/>
      <c r="R88" s="126">
        <f t="shared" si="12"/>
        <v>34052.419354838712</v>
      </c>
      <c r="S88" s="126">
        <f t="shared" si="13"/>
        <v>124</v>
      </c>
      <c r="T88" s="126">
        <f t="shared" si="14"/>
        <v>33928.419354838712</v>
      </c>
    </row>
    <row r="89" spans="1:20" s="6" customFormat="1" ht="54.75" customHeight="1" x14ac:dyDescent="0.5">
      <c r="A89" s="120">
        <v>87</v>
      </c>
      <c r="B89" s="121">
        <v>4030</v>
      </c>
      <c r="C89" s="122" t="s">
        <v>348</v>
      </c>
      <c r="D89" s="122" t="s">
        <v>349</v>
      </c>
      <c r="E89" s="122" t="s">
        <v>38</v>
      </c>
      <c r="F89" s="123">
        <v>12700</v>
      </c>
      <c r="G89" s="124">
        <v>31</v>
      </c>
      <c r="H89" s="125">
        <v>322.5</v>
      </c>
      <c r="I89" s="126">
        <f t="shared" si="10"/>
        <v>12700</v>
      </c>
      <c r="J89" s="126">
        <f t="shared" si="11"/>
        <v>16515.120967741936</v>
      </c>
      <c r="K89" s="126">
        <f t="shared" si="15"/>
        <v>29215.120967741936</v>
      </c>
      <c r="L89" s="127">
        <v>5</v>
      </c>
      <c r="M89" s="127">
        <v>0</v>
      </c>
      <c r="N89" s="127">
        <v>4000</v>
      </c>
      <c r="O89" s="127">
        <v>0</v>
      </c>
      <c r="P89" s="127">
        <v>114</v>
      </c>
      <c r="Q89" s="129"/>
      <c r="R89" s="126">
        <f t="shared" si="12"/>
        <v>29215.120967741936</v>
      </c>
      <c r="S89" s="126">
        <f t="shared" si="13"/>
        <v>4119</v>
      </c>
      <c r="T89" s="126">
        <f t="shared" si="14"/>
        <v>25096.120967741936</v>
      </c>
    </row>
    <row r="90" spans="1:20" s="6" customFormat="1" ht="54.75" customHeight="1" x14ac:dyDescent="0.5">
      <c r="A90" s="120">
        <v>88</v>
      </c>
      <c r="B90" s="121">
        <v>2602</v>
      </c>
      <c r="C90" s="122" t="s">
        <v>80</v>
      </c>
      <c r="D90" s="122" t="s">
        <v>81</v>
      </c>
      <c r="E90" s="122" t="s">
        <v>82</v>
      </c>
      <c r="F90" s="123">
        <v>21300</v>
      </c>
      <c r="G90" s="124">
        <v>31</v>
      </c>
      <c r="H90" s="125">
        <v>163.5</v>
      </c>
      <c r="I90" s="126">
        <f t="shared" si="10"/>
        <v>21300</v>
      </c>
      <c r="J90" s="126">
        <f t="shared" si="11"/>
        <v>14042.540322580646</v>
      </c>
      <c r="K90" s="126">
        <f t="shared" si="15"/>
        <v>35342.540322580644</v>
      </c>
      <c r="L90" s="127">
        <v>5</v>
      </c>
      <c r="M90" s="127">
        <v>200</v>
      </c>
      <c r="N90" s="127">
        <v>5000</v>
      </c>
      <c r="O90" s="127">
        <v>0</v>
      </c>
      <c r="P90" s="127">
        <v>180</v>
      </c>
      <c r="Q90" s="129"/>
      <c r="R90" s="126">
        <f t="shared" si="12"/>
        <v>35342.540322580644</v>
      </c>
      <c r="S90" s="126">
        <f t="shared" si="13"/>
        <v>5385</v>
      </c>
      <c r="T90" s="126">
        <f t="shared" si="14"/>
        <v>29957.540322580644</v>
      </c>
    </row>
    <row r="91" spans="1:20" s="6" customFormat="1" ht="54.75" customHeight="1" x14ac:dyDescent="0.5">
      <c r="A91" s="120">
        <v>89</v>
      </c>
      <c r="B91" s="121">
        <v>3329</v>
      </c>
      <c r="C91" s="122" t="s">
        <v>129</v>
      </c>
      <c r="D91" s="122" t="s">
        <v>130</v>
      </c>
      <c r="E91" s="122" t="s">
        <v>82</v>
      </c>
      <c r="F91" s="123">
        <v>18700</v>
      </c>
      <c r="G91" s="124">
        <v>15</v>
      </c>
      <c r="H91" s="124">
        <v>68</v>
      </c>
      <c r="I91" s="126">
        <f t="shared" si="10"/>
        <v>9048.3870967741932</v>
      </c>
      <c r="J91" s="126">
        <f t="shared" si="11"/>
        <v>5127.4193548387102</v>
      </c>
      <c r="K91" s="126">
        <f t="shared" si="15"/>
        <v>14175.806451612903</v>
      </c>
      <c r="L91" s="127">
        <v>5</v>
      </c>
      <c r="M91" s="127">
        <v>0</v>
      </c>
      <c r="N91" s="127">
        <v>0</v>
      </c>
      <c r="O91" s="127">
        <v>0</v>
      </c>
      <c r="P91" s="127">
        <v>87</v>
      </c>
      <c r="Q91" s="129"/>
      <c r="R91" s="126">
        <f t="shared" si="12"/>
        <v>14175.806451612903</v>
      </c>
      <c r="S91" s="126">
        <f t="shared" si="13"/>
        <v>92</v>
      </c>
      <c r="T91" s="126">
        <f t="shared" si="14"/>
        <v>14083.806451612903</v>
      </c>
    </row>
    <row r="92" spans="1:20" s="6" customFormat="1" ht="54.75" customHeight="1" x14ac:dyDescent="0.5">
      <c r="A92" s="120">
        <v>90</v>
      </c>
      <c r="B92" s="121">
        <v>3579</v>
      </c>
      <c r="C92" s="122" t="s">
        <v>156</v>
      </c>
      <c r="D92" s="122" t="s">
        <v>157</v>
      </c>
      <c r="E92" s="122" t="s">
        <v>82</v>
      </c>
      <c r="F92" s="123">
        <v>19500</v>
      </c>
      <c r="G92" s="124">
        <v>31</v>
      </c>
      <c r="H92" s="125">
        <v>160.5</v>
      </c>
      <c r="I92" s="126">
        <f t="shared" si="10"/>
        <v>19500</v>
      </c>
      <c r="J92" s="126">
        <f t="shared" si="11"/>
        <v>12619.959677419354</v>
      </c>
      <c r="K92" s="126">
        <f t="shared" si="15"/>
        <v>32119.959677419356</v>
      </c>
      <c r="L92" s="127">
        <v>5</v>
      </c>
      <c r="M92" s="127">
        <v>0</v>
      </c>
      <c r="N92" s="127">
        <v>5000</v>
      </c>
      <c r="O92" s="127">
        <v>0</v>
      </c>
      <c r="P92" s="127">
        <v>164</v>
      </c>
      <c r="Q92" s="129"/>
      <c r="R92" s="126">
        <f t="shared" si="12"/>
        <v>32119.959677419356</v>
      </c>
      <c r="S92" s="126">
        <f t="shared" si="13"/>
        <v>5169</v>
      </c>
      <c r="T92" s="126">
        <f t="shared" si="14"/>
        <v>26950.959677419356</v>
      </c>
    </row>
    <row r="93" spans="1:20" s="6" customFormat="1" ht="54.75" customHeight="1" x14ac:dyDescent="0.5">
      <c r="A93" s="120">
        <v>91</v>
      </c>
      <c r="B93" s="121">
        <v>3602</v>
      </c>
      <c r="C93" s="122" t="s">
        <v>158</v>
      </c>
      <c r="D93" s="122" t="s">
        <v>159</v>
      </c>
      <c r="E93" s="122" t="s">
        <v>82</v>
      </c>
      <c r="F93" s="123">
        <v>20000</v>
      </c>
      <c r="G93" s="124">
        <v>31</v>
      </c>
      <c r="H93" s="125">
        <v>162</v>
      </c>
      <c r="I93" s="126">
        <f t="shared" si="10"/>
        <v>20000</v>
      </c>
      <c r="J93" s="126">
        <f t="shared" si="11"/>
        <v>13064.516129032258</v>
      </c>
      <c r="K93" s="126">
        <f t="shared" si="15"/>
        <v>33064.516129032258</v>
      </c>
      <c r="L93" s="127">
        <v>5</v>
      </c>
      <c r="M93" s="127">
        <v>0</v>
      </c>
      <c r="N93" s="127">
        <v>0</v>
      </c>
      <c r="O93" s="127">
        <v>0</v>
      </c>
      <c r="P93" s="127">
        <v>169</v>
      </c>
      <c r="Q93" s="129"/>
      <c r="R93" s="126">
        <f t="shared" si="12"/>
        <v>33064.516129032258</v>
      </c>
      <c r="S93" s="126">
        <f t="shared" si="13"/>
        <v>174</v>
      </c>
      <c r="T93" s="126">
        <f t="shared" si="14"/>
        <v>32890.516129032258</v>
      </c>
    </row>
    <row r="94" spans="1:20" s="6" customFormat="1" ht="54.75" customHeight="1" x14ac:dyDescent="0.5">
      <c r="A94" s="120">
        <v>92</v>
      </c>
      <c r="B94" s="121">
        <v>3612</v>
      </c>
      <c r="C94" s="122" t="s">
        <v>160</v>
      </c>
      <c r="D94" s="122" t="s">
        <v>161</v>
      </c>
      <c r="E94" s="122" t="s">
        <v>82</v>
      </c>
      <c r="F94" s="123">
        <v>16000</v>
      </c>
      <c r="G94" s="124">
        <v>31</v>
      </c>
      <c r="H94" s="125">
        <v>164</v>
      </c>
      <c r="I94" s="126">
        <f t="shared" si="10"/>
        <v>16000</v>
      </c>
      <c r="J94" s="126">
        <f t="shared" si="11"/>
        <v>10580.645161290322</v>
      </c>
      <c r="K94" s="126">
        <f t="shared" si="15"/>
        <v>26580.645161290322</v>
      </c>
      <c r="L94" s="127">
        <v>5</v>
      </c>
      <c r="M94" s="127">
        <v>0</v>
      </c>
      <c r="N94" s="127">
        <v>4500</v>
      </c>
      <c r="O94" s="127">
        <v>0</v>
      </c>
      <c r="P94" s="127">
        <v>124</v>
      </c>
      <c r="Q94" s="129"/>
      <c r="R94" s="126">
        <f t="shared" si="12"/>
        <v>26580.645161290322</v>
      </c>
      <c r="S94" s="126">
        <f t="shared" si="13"/>
        <v>4629</v>
      </c>
      <c r="T94" s="126">
        <f t="shared" si="14"/>
        <v>21951.645161290322</v>
      </c>
    </row>
    <row r="95" spans="1:20" s="6" customFormat="1" ht="54.75" customHeight="1" x14ac:dyDescent="0.5">
      <c r="A95" s="120">
        <v>93</v>
      </c>
      <c r="B95" s="121">
        <v>3679</v>
      </c>
      <c r="C95" s="122" t="s">
        <v>191</v>
      </c>
      <c r="D95" s="122" t="s">
        <v>192</v>
      </c>
      <c r="E95" s="122" t="s">
        <v>82</v>
      </c>
      <c r="F95" s="123">
        <v>14700</v>
      </c>
      <c r="G95" s="124">
        <v>10</v>
      </c>
      <c r="H95" s="125">
        <v>57.5</v>
      </c>
      <c r="I95" s="126">
        <f t="shared" si="10"/>
        <v>4741.9354838709678</v>
      </c>
      <c r="J95" s="126">
        <f t="shared" si="11"/>
        <v>3408.266129032258</v>
      </c>
      <c r="K95" s="126">
        <f t="shared" si="15"/>
        <v>8150.2016129032254</v>
      </c>
      <c r="L95" s="127">
        <v>5</v>
      </c>
      <c r="M95" s="127">
        <v>0</v>
      </c>
      <c r="N95" s="127">
        <v>0</v>
      </c>
      <c r="O95" s="127">
        <v>0</v>
      </c>
      <c r="P95" s="127">
        <v>56</v>
      </c>
      <c r="Q95" s="129"/>
      <c r="R95" s="126">
        <f t="shared" si="12"/>
        <v>8150.2016129032254</v>
      </c>
      <c r="S95" s="126">
        <f t="shared" si="13"/>
        <v>61</v>
      </c>
      <c r="T95" s="126">
        <f t="shared" si="14"/>
        <v>8089.2016129032254</v>
      </c>
    </row>
    <row r="96" spans="1:20" s="6" customFormat="1" ht="54.75" customHeight="1" x14ac:dyDescent="0.5">
      <c r="A96" s="120">
        <v>94</v>
      </c>
      <c r="B96" s="121">
        <v>3819</v>
      </c>
      <c r="C96" s="122" t="s">
        <v>211</v>
      </c>
      <c r="D96" s="122" t="s">
        <v>225</v>
      </c>
      <c r="E96" s="122" t="s">
        <v>82</v>
      </c>
      <c r="F96" s="123">
        <v>14000</v>
      </c>
      <c r="G96" s="124">
        <v>29</v>
      </c>
      <c r="H96" s="125">
        <v>148.5</v>
      </c>
      <c r="I96" s="126">
        <f t="shared" si="10"/>
        <v>13096.774193548388</v>
      </c>
      <c r="J96" s="126">
        <f t="shared" si="11"/>
        <v>8383.0645161290322</v>
      </c>
      <c r="K96" s="126">
        <f t="shared" si="15"/>
        <v>21479.83870967742</v>
      </c>
      <c r="L96" s="127">
        <v>5</v>
      </c>
      <c r="M96" s="127">
        <v>0</v>
      </c>
      <c r="N96" s="127">
        <v>3000</v>
      </c>
      <c r="O96" s="127">
        <v>0</v>
      </c>
      <c r="P96" s="127">
        <v>106</v>
      </c>
      <c r="Q96" s="129"/>
      <c r="R96" s="126">
        <f t="shared" si="12"/>
        <v>21479.83870967742</v>
      </c>
      <c r="S96" s="126">
        <f t="shared" si="13"/>
        <v>3111</v>
      </c>
      <c r="T96" s="126">
        <f t="shared" si="14"/>
        <v>18368.83870967742</v>
      </c>
    </row>
    <row r="97" spans="1:20" s="6" customFormat="1" ht="54.75" customHeight="1" x14ac:dyDescent="0.5">
      <c r="A97" s="120">
        <v>95</v>
      </c>
      <c r="B97" s="121">
        <v>4039</v>
      </c>
      <c r="C97" s="122" t="s">
        <v>365</v>
      </c>
      <c r="D97" s="122" t="s">
        <v>366</v>
      </c>
      <c r="E97" s="122" t="s">
        <v>82</v>
      </c>
      <c r="F97" s="123">
        <v>13000</v>
      </c>
      <c r="G97" s="124">
        <v>31</v>
      </c>
      <c r="H97" s="125">
        <v>161</v>
      </c>
      <c r="I97" s="126">
        <f t="shared" si="10"/>
        <v>13000</v>
      </c>
      <c r="J97" s="126">
        <f t="shared" si="11"/>
        <v>8439.5161290322576</v>
      </c>
      <c r="K97" s="126">
        <f t="shared" si="15"/>
        <v>21439.516129032258</v>
      </c>
      <c r="L97" s="127">
        <v>5</v>
      </c>
      <c r="M97" s="127">
        <v>0</v>
      </c>
      <c r="N97" s="127">
        <v>0</v>
      </c>
      <c r="O97" s="127">
        <v>0</v>
      </c>
      <c r="P97" s="127">
        <v>114</v>
      </c>
      <c r="Q97" s="129"/>
      <c r="R97" s="126">
        <f t="shared" ref="R97:R127" si="16">K97</f>
        <v>21439.516129032258</v>
      </c>
      <c r="S97" s="126">
        <f t="shared" ref="S97:S127" si="17">L97+M97+N97+O97+P97+Q97</f>
        <v>119</v>
      </c>
      <c r="T97" s="126">
        <f t="shared" ref="T97:T127" si="18">R97-S97</f>
        <v>21320.516129032258</v>
      </c>
    </row>
    <row r="98" spans="1:20" s="6" customFormat="1" ht="54.75" customHeight="1" x14ac:dyDescent="0.5">
      <c r="A98" s="120">
        <v>96</v>
      </c>
      <c r="B98" s="121">
        <v>3668</v>
      </c>
      <c r="C98" s="122" t="s">
        <v>188</v>
      </c>
      <c r="D98" s="122" t="s">
        <v>189</v>
      </c>
      <c r="E98" s="122" t="s">
        <v>190</v>
      </c>
      <c r="F98" s="123">
        <v>16700</v>
      </c>
      <c r="G98" s="124">
        <v>26</v>
      </c>
      <c r="H98" s="125">
        <v>134.5</v>
      </c>
      <c r="I98" s="126">
        <f t="shared" si="10"/>
        <v>14006.451612903227</v>
      </c>
      <c r="J98" s="126">
        <f t="shared" si="11"/>
        <v>9057.0564516129034</v>
      </c>
      <c r="K98" s="126">
        <f t="shared" si="15"/>
        <v>23063.508064516129</v>
      </c>
      <c r="L98" s="127">
        <v>5</v>
      </c>
      <c r="M98" s="127">
        <v>0</v>
      </c>
      <c r="N98" s="127">
        <v>4000</v>
      </c>
      <c r="O98" s="127">
        <v>0</v>
      </c>
      <c r="P98" s="127">
        <v>118</v>
      </c>
      <c r="Q98" s="129"/>
      <c r="R98" s="126">
        <f t="shared" si="16"/>
        <v>23063.508064516129</v>
      </c>
      <c r="S98" s="126">
        <f t="shared" si="17"/>
        <v>4123</v>
      </c>
      <c r="T98" s="126">
        <f t="shared" si="18"/>
        <v>18940.508064516129</v>
      </c>
    </row>
    <row r="99" spans="1:20" s="6" customFormat="1" ht="54.75" customHeight="1" x14ac:dyDescent="0.5">
      <c r="A99" s="120">
        <v>97</v>
      </c>
      <c r="B99" s="121">
        <v>3839</v>
      </c>
      <c r="C99" s="122" t="s">
        <v>235</v>
      </c>
      <c r="D99" s="122" t="s">
        <v>236</v>
      </c>
      <c r="E99" s="122" t="s">
        <v>190</v>
      </c>
      <c r="F99" s="123">
        <v>12500</v>
      </c>
      <c r="G99" s="124">
        <v>30</v>
      </c>
      <c r="H99" s="125">
        <v>277.5</v>
      </c>
      <c r="I99" s="126">
        <f t="shared" si="10"/>
        <v>12096.774193548388</v>
      </c>
      <c r="J99" s="126">
        <f t="shared" si="11"/>
        <v>13986.895161290324</v>
      </c>
      <c r="K99" s="126">
        <f t="shared" si="15"/>
        <v>26083.669354838712</v>
      </c>
      <c r="L99" s="127">
        <v>5</v>
      </c>
      <c r="M99" s="127">
        <v>0</v>
      </c>
      <c r="N99" s="127">
        <v>0</v>
      </c>
      <c r="O99" s="127">
        <v>0</v>
      </c>
      <c r="P99" s="127">
        <v>110</v>
      </c>
      <c r="Q99" s="129"/>
      <c r="R99" s="126">
        <f t="shared" si="16"/>
        <v>26083.669354838712</v>
      </c>
      <c r="S99" s="126">
        <f t="shared" si="17"/>
        <v>115</v>
      </c>
      <c r="T99" s="126">
        <f t="shared" si="18"/>
        <v>25968.669354838712</v>
      </c>
    </row>
    <row r="100" spans="1:20" s="6" customFormat="1" ht="54.75" customHeight="1" x14ac:dyDescent="0.5">
      <c r="A100" s="120">
        <v>98</v>
      </c>
      <c r="B100" s="121">
        <v>3853</v>
      </c>
      <c r="C100" s="122" t="s">
        <v>239</v>
      </c>
      <c r="D100" s="122" t="s">
        <v>240</v>
      </c>
      <c r="E100" s="122" t="s">
        <v>190</v>
      </c>
      <c r="F100" s="123">
        <v>13000</v>
      </c>
      <c r="G100" s="124">
        <v>30</v>
      </c>
      <c r="H100" s="125">
        <v>154.5</v>
      </c>
      <c r="I100" s="126">
        <f t="shared" si="10"/>
        <v>12580.645161290324</v>
      </c>
      <c r="J100" s="126">
        <f t="shared" si="11"/>
        <v>8098.7903225806458</v>
      </c>
      <c r="K100" s="126">
        <f t="shared" si="15"/>
        <v>20679.43548387097</v>
      </c>
      <c r="L100" s="127">
        <v>5</v>
      </c>
      <c r="M100" s="127">
        <v>0</v>
      </c>
      <c r="N100" s="127">
        <v>3000</v>
      </c>
      <c r="O100" s="127">
        <v>0</v>
      </c>
      <c r="P100" s="127">
        <v>110</v>
      </c>
      <c r="Q100" s="129"/>
      <c r="R100" s="126">
        <f t="shared" si="16"/>
        <v>20679.43548387097</v>
      </c>
      <c r="S100" s="126">
        <f t="shared" si="17"/>
        <v>3115</v>
      </c>
      <c r="T100" s="126">
        <f t="shared" si="18"/>
        <v>17564.43548387097</v>
      </c>
    </row>
    <row r="101" spans="1:20" s="6" customFormat="1" ht="54.75" customHeight="1" x14ac:dyDescent="0.5">
      <c r="A101" s="120">
        <v>99</v>
      </c>
      <c r="B101" s="121">
        <v>3854</v>
      </c>
      <c r="C101" s="122" t="s">
        <v>241</v>
      </c>
      <c r="D101" s="122" t="s">
        <v>242</v>
      </c>
      <c r="E101" s="122" t="s">
        <v>190</v>
      </c>
      <c r="F101" s="123">
        <v>16500</v>
      </c>
      <c r="G101" s="124">
        <v>9</v>
      </c>
      <c r="H101" s="125">
        <v>43.5</v>
      </c>
      <c r="I101" s="126">
        <f t="shared" si="10"/>
        <v>4790.322580645161</v>
      </c>
      <c r="J101" s="126">
        <f t="shared" si="11"/>
        <v>2894.1532258064517</v>
      </c>
      <c r="K101" s="126">
        <f t="shared" si="15"/>
        <v>7684.4758064516127</v>
      </c>
      <c r="L101" s="127">
        <v>5</v>
      </c>
      <c r="M101" s="127">
        <v>200</v>
      </c>
      <c r="N101" s="127">
        <v>0</v>
      </c>
      <c r="O101" s="127">
        <v>0</v>
      </c>
      <c r="P101" s="127">
        <v>51</v>
      </c>
      <c r="Q101" s="129"/>
      <c r="R101" s="126">
        <f t="shared" si="16"/>
        <v>7684.4758064516127</v>
      </c>
      <c r="S101" s="126">
        <f t="shared" si="17"/>
        <v>256</v>
      </c>
      <c r="T101" s="126">
        <f t="shared" si="18"/>
        <v>7428.4758064516127</v>
      </c>
    </row>
    <row r="102" spans="1:20" s="6" customFormat="1" ht="54.75" customHeight="1" x14ac:dyDescent="0.5">
      <c r="A102" s="120">
        <v>100</v>
      </c>
      <c r="B102" s="121">
        <v>3869</v>
      </c>
      <c r="C102" s="122" t="s">
        <v>244</v>
      </c>
      <c r="D102" s="122" t="s">
        <v>245</v>
      </c>
      <c r="E102" s="122" t="s">
        <v>190</v>
      </c>
      <c r="F102" s="123">
        <v>13000</v>
      </c>
      <c r="G102" s="124">
        <v>30</v>
      </c>
      <c r="H102" s="125">
        <v>149</v>
      </c>
      <c r="I102" s="126">
        <f t="shared" si="10"/>
        <v>12580.645161290324</v>
      </c>
      <c r="J102" s="126">
        <f t="shared" si="11"/>
        <v>7810.4838709677424</v>
      </c>
      <c r="K102" s="126">
        <f t="shared" si="15"/>
        <v>20391.129032258068</v>
      </c>
      <c r="L102" s="127">
        <v>5</v>
      </c>
      <c r="M102" s="127">
        <v>0</v>
      </c>
      <c r="N102" s="127">
        <v>3000</v>
      </c>
      <c r="O102" s="127">
        <v>0</v>
      </c>
      <c r="P102" s="127">
        <v>110</v>
      </c>
      <c r="Q102" s="129"/>
      <c r="R102" s="126">
        <f t="shared" si="16"/>
        <v>20391.129032258068</v>
      </c>
      <c r="S102" s="126">
        <f t="shared" si="17"/>
        <v>3115</v>
      </c>
      <c r="T102" s="126">
        <f t="shared" si="18"/>
        <v>17276.129032258068</v>
      </c>
    </row>
    <row r="103" spans="1:20" s="6" customFormat="1" ht="54.75" customHeight="1" x14ac:dyDescent="0.5">
      <c r="A103" s="120">
        <v>101</v>
      </c>
      <c r="B103" s="121">
        <v>3989</v>
      </c>
      <c r="C103" s="122" t="s">
        <v>305</v>
      </c>
      <c r="D103" s="122" t="s">
        <v>306</v>
      </c>
      <c r="E103" s="122" t="s">
        <v>190</v>
      </c>
      <c r="F103" s="123">
        <v>13000</v>
      </c>
      <c r="G103" s="124">
        <v>30</v>
      </c>
      <c r="H103" s="125">
        <v>257.5</v>
      </c>
      <c r="I103" s="126">
        <f t="shared" si="10"/>
        <v>12580.645161290324</v>
      </c>
      <c r="J103" s="126">
        <f t="shared" si="11"/>
        <v>13497.983870967742</v>
      </c>
      <c r="K103" s="126">
        <f t="shared" si="15"/>
        <v>26078.629032258068</v>
      </c>
      <c r="L103" s="127">
        <v>5</v>
      </c>
      <c r="M103" s="127">
        <v>0</v>
      </c>
      <c r="N103" s="127">
        <v>4000</v>
      </c>
      <c r="O103" s="127">
        <v>0</v>
      </c>
      <c r="P103" s="127">
        <v>110</v>
      </c>
      <c r="Q103" s="129"/>
      <c r="R103" s="126">
        <f t="shared" si="16"/>
        <v>26078.629032258068</v>
      </c>
      <c r="S103" s="126">
        <f t="shared" si="17"/>
        <v>4115</v>
      </c>
      <c r="T103" s="126">
        <f t="shared" si="18"/>
        <v>21963.629032258068</v>
      </c>
    </row>
    <row r="104" spans="1:20" s="6" customFormat="1" ht="54.75" customHeight="1" x14ac:dyDescent="0.5">
      <c r="A104" s="120">
        <v>102</v>
      </c>
      <c r="B104" s="121">
        <v>3990</v>
      </c>
      <c r="C104" s="122" t="s">
        <v>307</v>
      </c>
      <c r="D104" s="122" t="s">
        <v>308</v>
      </c>
      <c r="E104" s="122" t="s">
        <v>190</v>
      </c>
      <c r="F104" s="123">
        <v>13000</v>
      </c>
      <c r="G104" s="124">
        <v>17</v>
      </c>
      <c r="H104" s="125">
        <v>79.5</v>
      </c>
      <c r="I104" s="126">
        <f t="shared" si="10"/>
        <v>7129.0322580645161</v>
      </c>
      <c r="J104" s="126">
        <f t="shared" si="11"/>
        <v>4167.3387096774195</v>
      </c>
      <c r="K104" s="126">
        <f t="shared" si="15"/>
        <v>11296.370967741936</v>
      </c>
      <c r="L104" s="127">
        <v>5</v>
      </c>
      <c r="M104" s="127">
        <v>0</v>
      </c>
      <c r="N104" s="127">
        <v>0</v>
      </c>
      <c r="O104" s="127">
        <v>0</v>
      </c>
      <c r="P104" s="127">
        <v>70</v>
      </c>
      <c r="Q104" s="129"/>
      <c r="R104" s="126">
        <f t="shared" si="16"/>
        <v>11296.370967741936</v>
      </c>
      <c r="S104" s="126">
        <f t="shared" si="17"/>
        <v>75</v>
      </c>
      <c r="T104" s="126">
        <f t="shared" si="18"/>
        <v>11221.370967741936</v>
      </c>
    </row>
    <row r="105" spans="1:20" s="6" customFormat="1" ht="54.75" customHeight="1" x14ac:dyDescent="0.5">
      <c r="A105" s="120">
        <v>103</v>
      </c>
      <c r="B105" s="121">
        <v>4056</v>
      </c>
      <c r="C105" s="122" t="s">
        <v>397</v>
      </c>
      <c r="D105" s="122" t="s">
        <v>398</v>
      </c>
      <c r="E105" s="122" t="s">
        <v>190</v>
      </c>
      <c r="F105" s="123">
        <v>15500</v>
      </c>
      <c r="G105" s="124">
        <v>20</v>
      </c>
      <c r="H105" s="125">
        <v>124</v>
      </c>
      <c r="I105" s="126">
        <f t="shared" si="10"/>
        <v>10000</v>
      </c>
      <c r="J105" s="126">
        <f t="shared" si="11"/>
        <v>7750</v>
      </c>
      <c r="K105" s="126">
        <f t="shared" si="15"/>
        <v>17750</v>
      </c>
      <c r="L105" s="127">
        <v>5</v>
      </c>
      <c r="M105" s="127">
        <v>0</v>
      </c>
      <c r="N105" s="127">
        <v>5300</v>
      </c>
      <c r="O105" s="127">
        <v>0</v>
      </c>
      <c r="P105" s="127">
        <v>73</v>
      </c>
      <c r="Q105" s="129"/>
      <c r="R105" s="126">
        <f t="shared" si="16"/>
        <v>17750</v>
      </c>
      <c r="S105" s="126">
        <f t="shared" si="17"/>
        <v>5378</v>
      </c>
      <c r="T105" s="126">
        <f t="shared" si="18"/>
        <v>12372</v>
      </c>
    </row>
    <row r="106" spans="1:20" s="6" customFormat="1" ht="54.75" customHeight="1" x14ac:dyDescent="0.5">
      <c r="A106" s="120">
        <v>104</v>
      </c>
      <c r="B106" s="121">
        <v>4069</v>
      </c>
      <c r="C106" s="122" t="s">
        <v>421</v>
      </c>
      <c r="D106" s="122" t="s">
        <v>422</v>
      </c>
      <c r="E106" s="122" t="s">
        <v>190</v>
      </c>
      <c r="F106" s="123">
        <v>15500</v>
      </c>
      <c r="G106" s="124">
        <v>6</v>
      </c>
      <c r="H106" s="125">
        <v>151</v>
      </c>
      <c r="I106" s="126">
        <f t="shared" si="10"/>
        <v>3000</v>
      </c>
      <c r="J106" s="126">
        <f t="shared" si="11"/>
        <v>9437.5</v>
      </c>
      <c r="K106" s="126">
        <f t="shared" si="15"/>
        <v>12437.5</v>
      </c>
      <c r="L106" s="127">
        <v>5</v>
      </c>
      <c r="M106" s="127">
        <v>0</v>
      </c>
      <c r="N106" s="127">
        <v>0</v>
      </c>
      <c r="O106" s="127">
        <v>0</v>
      </c>
      <c r="P106" s="127">
        <v>26</v>
      </c>
      <c r="Q106" s="129"/>
      <c r="R106" s="126">
        <f t="shared" si="16"/>
        <v>12437.5</v>
      </c>
      <c r="S106" s="126">
        <f t="shared" si="17"/>
        <v>31</v>
      </c>
      <c r="T106" s="126">
        <f t="shared" si="18"/>
        <v>12406.5</v>
      </c>
    </row>
    <row r="107" spans="1:20" s="6" customFormat="1" ht="54.75" customHeight="1" x14ac:dyDescent="0.5">
      <c r="A107" s="120">
        <v>105</v>
      </c>
      <c r="B107" s="121">
        <v>4074</v>
      </c>
      <c r="C107" s="122" t="s">
        <v>431</v>
      </c>
      <c r="D107" s="122" t="s">
        <v>432</v>
      </c>
      <c r="E107" s="122" t="s">
        <v>190</v>
      </c>
      <c r="F107" s="123">
        <v>12000</v>
      </c>
      <c r="G107" s="124">
        <v>7</v>
      </c>
      <c r="H107" s="125">
        <v>89</v>
      </c>
      <c r="I107" s="126">
        <f t="shared" si="10"/>
        <v>2709.677419354839</v>
      </c>
      <c r="J107" s="126">
        <f t="shared" si="11"/>
        <v>4306.4516129032263</v>
      </c>
      <c r="K107" s="126">
        <f t="shared" si="15"/>
        <v>7016.1290322580653</v>
      </c>
      <c r="L107" s="127">
        <v>5</v>
      </c>
      <c r="M107" s="127">
        <v>0</v>
      </c>
      <c r="N107" s="127">
        <v>0</v>
      </c>
      <c r="O107" s="127">
        <v>0</v>
      </c>
      <c r="P107" s="127">
        <v>0</v>
      </c>
      <c r="Q107" s="129"/>
      <c r="R107" s="126">
        <f t="shared" si="16"/>
        <v>7016.1290322580653</v>
      </c>
      <c r="S107" s="126">
        <f t="shared" si="17"/>
        <v>5</v>
      </c>
      <c r="T107" s="126">
        <f t="shared" si="18"/>
        <v>7011.1290322580653</v>
      </c>
    </row>
    <row r="108" spans="1:20" s="6" customFormat="1" ht="54.75" customHeight="1" x14ac:dyDescent="0.5">
      <c r="A108" s="120">
        <v>106</v>
      </c>
      <c r="B108" s="121">
        <v>1547</v>
      </c>
      <c r="C108" s="122" t="s">
        <v>49</v>
      </c>
      <c r="D108" s="122" t="s">
        <v>50</v>
      </c>
      <c r="E108" s="122" t="s">
        <v>51</v>
      </c>
      <c r="F108" s="123">
        <v>25700</v>
      </c>
      <c r="G108" s="124">
        <v>28</v>
      </c>
      <c r="H108" s="125">
        <v>109.5</v>
      </c>
      <c r="I108" s="126">
        <f t="shared" si="10"/>
        <v>23212.903225806451</v>
      </c>
      <c r="J108" s="126">
        <f t="shared" si="11"/>
        <v>11347.379032258064</v>
      </c>
      <c r="K108" s="126">
        <f t="shared" si="15"/>
        <v>34560.282258064515</v>
      </c>
      <c r="L108" s="127">
        <v>5</v>
      </c>
      <c r="M108" s="127">
        <v>200</v>
      </c>
      <c r="N108" s="127">
        <v>0</v>
      </c>
      <c r="O108" s="127">
        <v>0</v>
      </c>
      <c r="P108" s="127">
        <v>0</v>
      </c>
      <c r="Q108" s="129"/>
      <c r="R108" s="126">
        <f t="shared" si="16"/>
        <v>34560.282258064515</v>
      </c>
      <c r="S108" s="126">
        <f t="shared" si="17"/>
        <v>205</v>
      </c>
      <c r="T108" s="126">
        <f t="shared" si="18"/>
        <v>34355.282258064515</v>
      </c>
    </row>
    <row r="109" spans="1:20" s="6" customFormat="1" ht="54.75" customHeight="1" x14ac:dyDescent="0.5">
      <c r="A109" s="120">
        <v>107</v>
      </c>
      <c r="B109" s="121">
        <v>1695</v>
      </c>
      <c r="C109" s="122" t="s">
        <v>57</v>
      </c>
      <c r="D109" s="122" t="s">
        <v>58</v>
      </c>
      <c r="E109" s="122" t="s">
        <v>51</v>
      </c>
      <c r="F109" s="123">
        <v>19200</v>
      </c>
      <c r="G109" s="124">
        <v>30</v>
      </c>
      <c r="H109" s="125">
        <v>134.5</v>
      </c>
      <c r="I109" s="126">
        <f t="shared" si="10"/>
        <v>18580.645161290322</v>
      </c>
      <c r="J109" s="126">
        <f t="shared" si="11"/>
        <v>10412.903225806453</v>
      </c>
      <c r="K109" s="126">
        <f t="shared" ref="K109:K139" si="19">I109+J109</f>
        <v>28993.548387096773</v>
      </c>
      <c r="L109" s="127">
        <v>5</v>
      </c>
      <c r="M109" s="127">
        <v>200</v>
      </c>
      <c r="N109" s="127">
        <v>4000</v>
      </c>
      <c r="O109" s="127">
        <v>0</v>
      </c>
      <c r="P109" s="127">
        <v>175</v>
      </c>
      <c r="Q109" s="129"/>
      <c r="R109" s="126">
        <f t="shared" si="16"/>
        <v>28993.548387096773</v>
      </c>
      <c r="S109" s="126">
        <f t="shared" si="17"/>
        <v>4380</v>
      </c>
      <c r="T109" s="126">
        <f t="shared" si="18"/>
        <v>24613.548387096773</v>
      </c>
    </row>
    <row r="110" spans="1:20" s="6" customFormat="1" ht="54.75" customHeight="1" x14ac:dyDescent="0.5">
      <c r="A110" s="120">
        <v>108</v>
      </c>
      <c r="B110" s="121">
        <v>2623</v>
      </c>
      <c r="C110" s="122" t="s">
        <v>83</v>
      </c>
      <c r="D110" s="122" t="s">
        <v>84</v>
      </c>
      <c r="E110" s="122" t="s">
        <v>51</v>
      </c>
      <c r="F110" s="123">
        <v>14500</v>
      </c>
      <c r="G110" s="124">
        <v>30</v>
      </c>
      <c r="H110" s="125">
        <v>98</v>
      </c>
      <c r="I110" s="126">
        <f t="shared" si="10"/>
        <v>14032.258064516129</v>
      </c>
      <c r="J110" s="126">
        <f t="shared" si="11"/>
        <v>5729.8387096774195</v>
      </c>
      <c r="K110" s="126">
        <f t="shared" si="19"/>
        <v>19762.096774193549</v>
      </c>
      <c r="L110" s="127">
        <v>5</v>
      </c>
      <c r="M110" s="127">
        <v>0</v>
      </c>
      <c r="N110" s="127">
        <v>0</v>
      </c>
      <c r="O110" s="127">
        <v>0</v>
      </c>
      <c r="P110" s="127">
        <v>110</v>
      </c>
      <c r="Q110" s="129"/>
      <c r="R110" s="126">
        <f t="shared" si="16"/>
        <v>19762.096774193549</v>
      </c>
      <c r="S110" s="126">
        <f t="shared" si="17"/>
        <v>115</v>
      </c>
      <c r="T110" s="126">
        <f t="shared" si="18"/>
        <v>19647.096774193549</v>
      </c>
    </row>
    <row r="111" spans="1:20" s="6" customFormat="1" ht="54.75" customHeight="1" x14ac:dyDescent="0.5">
      <c r="A111" s="120">
        <v>109</v>
      </c>
      <c r="B111" s="121">
        <v>2713</v>
      </c>
      <c r="C111" s="122" t="s">
        <v>93</v>
      </c>
      <c r="D111" s="122" t="s">
        <v>94</v>
      </c>
      <c r="E111" s="122" t="s">
        <v>51</v>
      </c>
      <c r="F111" s="123">
        <v>13500</v>
      </c>
      <c r="G111" s="124">
        <v>26</v>
      </c>
      <c r="H111" s="125">
        <v>86</v>
      </c>
      <c r="I111" s="126">
        <f t="shared" si="10"/>
        <v>11322.580645161292</v>
      </c>
      <c r="J111" s="126">
        <f t="shared" si="11"/>
        <v>4681.4516129032263</v>
      </c>
      <c r="K111" s="126">
        <f t="shared" si="19"/>
        <v>16004.032258064519</v>
      </c>
      <c r="L111" s="127">
        <v>5</v>
      </c>
      <c r="M111" s="127">
        <v>0</v>
      </c>
      <c r="N111" s="127">
        <v>0</v>
      </c>
      <c r="O111" s="127">
        <v>0</v>
      </c>
      <c r="P111" s="127">
        <v>101</v>
      </c>
      <c r="Q111" s="129"/>
      <c r="R111" s="126">
        <f t="shared" si="16"/>
        <v>16004.032258064519</v>
      </c>
      <c r="S111" s="126">
        <f t="shared" si="17"/>
        <v>106</v>
      </c>
      <c r="T111" s="126">
        <f t="shared" si="18"/>
        <v>15898.032258064519</v>
      </c>
    </row>
    <row r="112" spans="1:20" s="6" customFormat="1" ht="54.75" customHeight="1" x14ac:dyDescent="0.5">
      <c r="A112" s="120">
        <v>110</v>
      </c>
      <c r="B112" s="121">
        <v>2935</v>
      </c>
      <c r="C112" s="122" t="s">
        <v>109</v>
      </c>
      <c r="D112" s="122" t="s">
        <v>110</v>
      </c>
      <c r="E112" s="122" t="s">
        <v>51</v>
      </c>
      <c r="F112" s="123">
        <v>15700</v>
      </c>
      <c r="G112" s="124">
        <v>26</v>
      </c>
      <c r="H112" s="125">
        <v>89</v>
      </c>
      <c r="I112" s="126">
        <f t="shared" si="10"/>
        <v>13167.741935483871</v>
      </c>
      <c r="J112" s="126">
        <f t="shared" si="11"/>
        <v>5634.2741935483873</v>
      </c>
      <c r="K112" s="126">
        <f t="shared" si="19"/>
        <v>18802.016129032258</v>
      </c>
      <c r="L112" s="127">
        <v>5</v>
      </c>
      <c r="M112" s="127">
        <v>0</v>
      </c>
      <c r="N112" s="127">
        <v>0</v>
      </c>
      <c r="O112" s="127">
        <v>0</v>
      </c>
      <c r="P112" s="127">
        <v>105</v>
      </c>
      <c r="Q112" s="129"/>
      <c r="R112" s="126">
        <f t="shared" si="16"/>
        <v>18802.016129032258</v>
      </c>
      <c r="S112" s="126">
        <f t="shared" si="17"/>
        <v>110</v>
      </c>
      <c r="T112" s="126">
        <f t="shared" si="18"/>
        <v>18692.016129032258</v>
      </c>
    </row>
    <row r="113" spans="1:20" s="6" customFormat="1" ht="54.75" customHeight="1" x14ac:dyDescent="0.5">
      <c r="A113" s="120">
        <v>111</v>
      </c>
      <c r="B113" s="121">
        <v>3720</v>
      </c>
      <c r="C113" s="122" t="s">
        <v>197</v>
      </c>
      <c r="D113" s="122" t="s">
        <v>198</v>
      </c>
      <c r="E113" s="122" t="s">
        <v>51</v>
      </c>
      <c r="F113" s="123">
        <v>12500</v>
      </c>
      <c r="G113" s="124">
        <v>13</v>
      </c>
      <c r="H113" s="125">
        <v>63.5</v>
      </c>
      <c r="I113" s="126">
        <f t="shared" si="10"/>
        <v>5241.9354838709678</v>
      </c>
      <c r="J113" s="126">
        <f t="shared" si="11"/>
        <v>3200.6048387096776</v>
      </c>
      <c r="K113" s="126">
        <f t="shared" si="19"/>
        <v>8442.5403225806458</v>
      </c>
      <c r="L113" s="127">
        <v>5</v>
      </c>
      <c r="M113" s="127">
        <v>0</v>
      </c>
      <c r="N113" s="127">
        <v>1000</v>
      </c>
      <c r="O113" s="127">
        <v>0</v>
      </c>
      <c r="P113" s="127">
        <v>59</v>
      </c>
      <c r="Q113" s="129"/>
      <c r="R113" s="126">
        <f t="shared" si="16"/>
        <v>8442.5403225806458</v>
      </c>
      <c r="S113" s="126">
        <f t="shared" si="17"/>
        <v>1064</v>
      </c>
      <c r="T113" s="126">
        <f t="shared" si="18"/>
        <v>7378.5403225806458</v>
      </c>
    </row>
    <row r="114" spans="1:20" s="6" customFormat="1" ht="54.75" customHeight="1" x14ac:dyDescent="0.5">
      <c r="A114" s="120">
        <v>112</v>
      </c>
      <c r="B114" s="121">
        <v>3924</v>
      </c>
      <c r="C114" s="122" t="s">
        <v>239</v>
      </c>
      <c r="D114" s="122" t="s">
        <v>260</v>
      </c>
      <c r="E114" s="122" t="s">
        <v>51</v>
      </c>
      <c r="F114" s="123">
        <v>13500</v>
      </c>
      <c r="G114" s="124">
        <v>30</v>
      </c>
      <c r="H114" s="125">
        <v>94</v>
      </c>
      <c r="I114" s="126">
        <f t="shared" si="10"/>
        <v>13064.516129032258</v>
      </c>
      <c r="J114" s="126">
        <f t="shared" si="11"/>
        <v>5116.9354838709678</v>
      </c>
      <c r="K114" s="126">
        <f t="shared" si="19"/>
        <v>18181.451612903227</v>
      </c>
      <c r="L114" s="127">
        <v>5</v>
      </c>
      <c r="M114" s="127">
        <v>0</v>
      </c>
      <c r="N114" s="127">
        <v>4500</v>
      </c>
      <c r="O114" s="127">
        <v>0</v>
      </c>
      <c r="P114" s="127">
        <v>110</v>
      </c>
      <c r="Q114" s="129"/>
      <c r="R114" s="126">
        <f t="shared" si="16"/>
        <v>18181.451612903227</v>
      </c>
      <c r="S114" s="126">
        <f t="shared" si="17"/>
        <v>4615</v>
      </c>
      <c r="T114" s="126">
        <f t="shared" si="18"/>
        <v>13566.451612903227</v>
      </c>
    </row>
    <row r="115" spans="1:20" s="6" customFormat="1" ht="54.75" customHeight="1" x14ac:dyDescent="0.5">
      <c r="A115" s="120">
        <v>113</v>
      </c>
      <c r="B115" s="121">
        <v>3928</v>
      </c>
      <c r="C115" s="122" t="s">
        <v>261</v>
      </c>
      <c r="D115" s="122" t="s">
        <v>262</v>
      </c>
      <c r="E115" s="122" t="s">
        <v>51</v>
      </c>
      <c r="F115" s="123">
        <v>17500</v>
      </c>
      <c r="G115" s="124">
        <v>12</v>
      </c>
      <c r="H115" s="125">
        <v>47.5</v>
      </c>
      <c r="I115" s="126">
        <f t="shared" si="10"/>
        <v>6774.1935483870966</v>
      </c>
      <c r="J115" s="126">
        <f t="shared" si="11"/>
        <v>3351.8145161290322</v>
      </c>
      <c r="K115" s="126">
        <f t="shared" si="19"/>
        <v>10126.008064516129</v>
      </c>
      <c r="L115" s="127">
        <v>5</v>
      </c>
      <c r="M115" s="127">
        <v>0</v>
      </c>
      <c r="N115" s="127">
        <v>0</v>
      </c>
      <c r="O115" s="127">
        <v>0</v>
      </c>
      <c r="P115" s="127">
        <v>69</v>
      </c>
      <c r="Q115" s="129"/>
      <c r="R115" s="126">
        <f t="shared" si="16"/>
        <v>10126.008064516129</v>
      </c>
      <c r="S115" s="126">
        <f t="shared" si="17"/>
        <v>74</v>
      </c>
      <c r="T115" s="126">
        <f t="shared" si="18"/>
        <v>10052.008064516129</v>
      </c>
    </row>
    <row r="116" spans="1:20" s="6" customFormat="1" ht="54.75" customHeight="1" x14ac:dyDescent="0.5">
      <c r="A116" s="120">
        <v>114</v>
      </c>
      <c r="B116" s="121">
        <v>3931</v>
      </c>
      <c r="C116" s="122" t="s">
        <v>263</v>
      </c>
      <c r="D116" s="122" t="s">
        <v>264</v>
      </c>
      <c r="E116" s="122" t="s">
        <v>51</v>
      </c>
      <c r="F116" s="123">
        <v>12000</v>
      </c>
      <c r="G116" s="124">
        <v>29</v>
      </c>
      <c r="H116" s="125">
        <v>118</v>
      </c>
      <c r="I116" s="126">
        <f t="shared" si="10"/>
        <v>11225.806451612903</v>
      </c>
      <c r="J116" s="126">
        <f t="shared" si="11"/>
        <v>5709.677419354839</v>
      </c>
      <c r="K116" s="126">
        <f t="shared" si="19"/>
        <v>16935.483870967742</v>
      </c>
      <c r="L116" s="127">
        <v>5</v>
      </c>
      <c r="M116" s="127">
        <v>0</v>
      </c>
      <c r="N116" s="127">
        <v>3000</v>
      </c>
      <c r="O116" s="127">
        <v>0</v>
      </c>
      <c r="P116" s="127">
        <v>106</v>
      </c>
      <c r="Q116" s="129"/>
      <c r="R116" s="126">
        <f t="shared" si="16"/>
        <v>16935.483870967742</v>
      </c>
      <c r="S116" s="126">
        <f t="shared" si="17"/>
        <v>3111</v>
      </c>
      <c r="T116" s="126">
        <f t="shared" si="18"/>
        <v>13824.483870967742</v>
      </c>
    </row>
    <row r="117" spans="1:20" s="6" customFormat="1" ht="54.75" customHeight="1" x14ac:dyDescent="0.5">
      <c r="A117" s="120">
        <v>115</v>
      </c>
      <c r="B117" s="121">
        <v>3952</v>
      </c>
      <c r="C117" s="122" t="s">
        <v>283</v>
      </c>
      <c r="D117" s="122" t="s">
        <v>284</v>
      </c>
      <c r="E117" s="122" t="s">
        <v>51</v>
      </c>
      <c r="F117" s="123">
        <v>13000</v>
      </c>
      <c r="G117" s="124">
        <v>28</v>
      </c>
      <c r="H117" s="125">
        <v>123.5</v>
      </c>
      <c r="I117" s="126">
        <f t="shared" si="10"/>
        <v>11741.935483870968</v>
      </c>
      <c r="J117" s="126">
        <f t="shared" si="11"/>
        <v>6473.7903225806458</v>
      </c>
      <c r="K117" s="126">
        <f t="shared" si="19"/>
        <v>18215.725806451614</v>
      </c>
      <c r="L117" s="127">
        <v>5</v>
      </c>
      <c r="M117" s="127">
        <v>0</v>
      </c>
      <c r="N117" s="127">
        <v>0</v>
      </c>
      <c r="O117" s="127">
        <v>0</v>
      </c>
      <c r="P117" s="127">
        <v>103</v>
      </c>
      <c r="Q117" s="129"/>
      <c r="R117" s="126">
        <f t="shared" si="16"/>
        <v>18215.725806451614</v>
      </c>
      <c r="S117" s="126">
        <f t="shared" si="17"/>
        <v>108</v>
      </c>
      <c r="T117" s="126">
        <f t="shared" si="18"/>
        <v>18107.725806451614</v>
      </c>
    </row>
    <row r="118" spans="1:20" s="6" customFormat="1" ht="54.75" customHeight="1" x14ac:dyDescent="0.5">
      <c r="A118" s="120">
        <v>116</v>
      </c>
      <c r="B118" s="121">
        <v>3972</v>
      </c>
      <c r="C118" s="122" t="s">
        <v>291</v>
      </c>
      <c r="D118" s="122" t="s">
        <v>236</v>
      </c>
      <c r="E118" s="122" t="s">
        <v>51</v>
      </c>
      <c r="F118" s="123">
        <v>12000</v>
      </c>
      <c r="G118" s="124">
        <v>30</v>
      </c>
      <c r="H118" s="125">
        <v>112.5</v>
      </c>
      <c r="I118" s="126">
        <f t="shared" si="10"/>
        <v>11612.903225806453</v>
      </c>
      <c r="J118" s="126">
        <f t="shared" si="11"/>
        <v>5443.5483870967746</v>
      </c>
      <c r="K118" s="126">
        <f t="shared" si="19"/>
        <v>17056.451612903227</v>
      </c>
      <c r="L118" s="127">
        <v>5</v>
      </c>
      <c r="M118" s="127">
        <v>0</v>
      </c>
      <c r="N118" s="127">
        <v>2500</v>
      </c>
      <c r="O118" s="127">
        <v>0</v>
      </c>
      <c r="P118" s="127">
        <v>110</v>
      </c>
      <c r="Q118" s="129"/>
      <c r="R118" s="126">
        <f t="shared" si="16"/>
        <v>17056.451612903227</v>
      </c>
      <c r="S118" s="126">
        <f t="shared" si="17"/>
        <v>2615</v>
      </c>
      <c r="T118" s="126">
        <f t="shared" si="18"/>
        <v>14441.451612903227</v>
      </c>
    </row>
    <row r="119" spans="1:20" s="6" customFormat="1" ht="54.75" customHeight="1" x14ac:dyDescent="0.5">
      <c r="A119" s="120">
        <v>117</v>
      </c>
      <c r="B119" s="121">
        <v>3979</v>
      </c>
      <c r="C119" s="122" t="s">
        <v>298</v>
      </c>
      <c r="D119" s="122" t="s">
        <v>299</v>
      </c>
      <c r="E119" s="122" t="s">
        <v>51</v>
      </c>
      <c r="F119" s="123">
        <v>12000</v>
      </c>
      <c r="G119" s="124">
        <v>24</v>
      </c>
      <c r="H119" s="125">
        <v>103</v>
      </c>
      <c r="I119" s="126">
        <f t="shared" si="10"/>
        <v>9290.3225806451628</v>
      </c>
      <c r="J119" s="126">
        <f t="shared" si="11"/>
        <v>4983.8709677419356</v>
      </c>
      <c r="K119" s="126">
        <f t="shared" si="19"/>
        <v>14274.193548387098</v>
      </c>
      <c r="L119" s="127">
        <v>5</v>
      </c>
      <c r="M119" s="127">
        <v>0</v>
      </c>
      <c r="N119" s="127">
        <v>2500</v>
      </c>
      <c r="O119" s="127">
        <v>0</v>
      </c>
      <c r="P119" s="127">
        <v>88</v>
      </c>
      <c r="Q119" s="129"/>
      <c r="R119" s="126">
        <f t="shared" si="16"/>
        <v>14274.193548387098</v>
      </c>
      <c r="S119" s="126">
        <f t="shared" si="17"/>
        <v>2593</v>
      </c>
      <c r="T119" s="126">
        <f t="shared" si="18"/>
        <v>11681.193548387098</v>
      </c>
    </row>
    <row r="120" spans="1:20" s="6" customFormat="1" ht="54.75" customHeight="1" x14ac:dyDescent="0.5">
      <c r="A120" s="120">
        <v>118</v>
      </c>
      <c r="B120" s="121">
        <v>3981</v>
      </c>
      <c r="C120" s="122" t="s">
        <v>302</v>
      </c>
      <c r="D120" s="122" t="s">
        <v>303</v>
      </c>
      <c r="E120" s="122" t="s">
        <v>51</v>
      </c>
      <c r="F120" s="123">
        <v>12500</v>
      </c>
      <c r="G120" s="124">
        <v>29</v>
      </c>
      <c r="H120" s="125">
        <v>110</v>
      </c>
      <c r="I120" s="126">
        <f t="shared" si="10"/>
        <v>11693.548387096775</v>
      </c>
      <c r="J120" s="126">
        <f t="shared" si="11"/>
        <v>5544.354838709678</v>
      </c>
      <c r="K120" s="126">
        <f t="shared" si="19"/>
        <v>17237.903225806454</v>
      </c>
      <c r="L120" s="127">
        <v>5</v>
      </c>
      <c r="M120" s="127">
        <v>0</v>
      </c>
      <c r="N120" s="127">
        <v>500</v>
      </c>
      <c r="O120" s="127">
        <v>0</v>
      </c>
      <c r="P120" s="127">
        <v>106</v>
      </c>
      <c r="Q120" s="129"/>
      <c r="R120" s="126">
        <f t="shared" si="16"/>
        <v>17237.903225806454</v>
      </c>
      <c r="S120" s="126">
        <f t="shared" si="17"/>
        <v>611</v>
      </c>
      <c r="T120" s="126">
        <f t="shared" si="18"/>
        <v>16626.903225806454</v>
      </c>
    </row>
    <row r="121" spans="1:20" s="6" customFormat="1" ht="54.75" customHeight="1" x14ac:dyDescent="0.5">
      <c r="A121" s="120">
        <v>119</v>
      </c>
      <c r="B121" s="121">
        <v>4007</v>
      </c>
      <c r="C121" s="122" t="s">
        <v>319</v>
      </c>
      <c r="D121" s="122" t="s">
        <v>320</v>
      </c>
      <c r="E121" s="122" t="s">
        <v>51</v>
      </c>
      <c r="F121" s="123">
        <v>12000</v>
      </c>
      <c r="G121" s="124">
        <v>29</v>
      </c>
      <c r="H121" s="125">
        <v>130</v>
      </c>
      <c r="I121" s="126">
        <f t="shared" si="10"/>
        <v>11225.806451612903</v>
      </c>
      <c r="J121" s="126">
        <f t="shared" si="11"/>
        <v>6290.3225806451619</v>
      </c>
      <c r="K121" s="126">
        <f t="shared" si="19"/>
        <v>17516.129032258064</v>
      </c>
      <c r="L121" s="127">
        <v>5</v>
      </c>
      <c r="M121" s="127">
        <v>0</v>
      </c>
      <c r="N121" s="127">
        <v>3500</v>
      </c>
      <c r="O121" s="127">
        <v>0</v>
      </c>
      <c r="P121" s="127">
        <v>106</v>
      </c>
      <c r="Q121" s="129"/>
      <c r="R121" s="126">
        <f t="shared" si="16"/>
        <v>17516.129032258064</v>
      </c>
      <c r="S121" s="126">
        <f t="shared" si="17"/>
        <v>3611</v>
      </c>
      <c r="T121" s="126">
        <f t="shared" si="18"/>
        <v>13905.129032258064</v>
      </c>
    </row>
    <row r="122" spans="1:20" s="6" customFormat="1" ht="54.75" customHeight="1" x14ac:dyDescent="0.5">
      <c r="A122" s="120">
        <v>120</v>
      </c>
      <c r="B122" s="121">
        <v>4009</v>
      </c>
      <c r="C122" s="122" t="s">
        <v>321</v>
      </c>
      <c r="D122" s="122" t="s">
        <v>322</v>
      </c>
      <c r="E122" s="122" t="s">
        <v>51</v>
      </c>
      <c r="F122" s="123">
        <v>13000</v>
      </c>
      <c r="G122" s="124">
        <v>22</v>
      </c>
      <c r="H122" s="125">
        <v>83.5</v>
      </c>
      <c r="I122" s="126">
        <f t="shared" si="10"/>
        <v>9225.8064516129034</v>
      </c>
      <c r="J122" s="126">
        <f t="shared" si="11"/>
        <v>4377.0161290322585</v>
      </c>
      <c r="K122" s="126">
        <f t="shared" si="19"/>
        <v>13602.822580645163</v>
      </c>
      <c r="L122" s="127">
        <v>5</v>
      </c>
      <c r="M122" s="127">
        <v>0</v>
      </c>
      <c r="N122" s="127">
        <v>0</v>
      </c>
      <c r="O122" s="127">
        <v>0</v>
      </c>
      <c r="P122" s="127">
        <v>84</v>
      </c>
      <c r="Q122" s="129"/>
      <c r="R122" s="126">
        <f t="shared" si="16"/>
        <v>13602.822580645163</v>
      </c>
      <c r="S122" s="126">
        <f t="shared" si="17"/>
        <v>89</v>
      </c>
      <c r="T122" s="126">
        <f t="shared" si="18"/>
        <v>13513.822580645163</v>
      </c>
    </row>
    <row r="123" spans="1:20" s="6" customFormat="1" ht="54.75" customHeight="1" x14ac:dyDescent="0.5">
      <c r="A123" s="120">
        <v>121</v>
      </c>
      <c r="B123" s="121">
        <v>4021</v>
      </c>
      <c r="C123" s="122" t="s">
        <v>339</v>
      </c>
      <c r="D123" s="122" t="s">
        <v>340</v>
      </c>
      <c r="E123" s="122" t="s">
        <v>51</v>
      </c>
      <c r="F123" s="123">
        <v>11500</v>
      </c>
      <c r="G123" s="124">
        <v>29</v>
      </c>
      <c r="H123" s="125">
        <v>93.5</v>
      </c>
      <c r="I123" s="126">
        <f t="shared" si="10"/>
        <v>10758.064516129032</v>
      </c>
      <c r="J123" s="126">
        <f t="shared" si="11"/>
        <v>4335.6854838709678</v>
      </c>
      <c r="K123" s="126">
        <f t="shared" si="19"/>
        <v>15093.75</v>
      </c>
      <c r="L123" s="127">
        <v>5</v>
      </c>
      <c r="M123" s="127">
        <v>0</v>
      </c>
      <c r="N123" s="127">
        <v>3000</v>
      </c>
      <c r="O123" s="127">
        <v>0</v>
      </c>
      <c r="P123" s="127">
        <v>106</v>
      </c>
      <c r="Q123" s="129"/>
      <c r="R123" s="126">
        <f t="shared" si="16"/>
        <v>15093.75</v>
      </c>
      <c r="S123" s="126">
        <f t="shared" si="17"/>
        <v>3111</v>
      </c>
      <c r="T123" s="126">
        <f t="shared" si="18"/>
        <v>11982.75</v>
      </c>
    </row>
    <row r="124" spans="1:20" s="6" customFormat="1" ht="54.75" customHeight="1" x14ac:dyDescent="0.5">
      <c r="A124" s="120">
        <v>122</v>
      </c>
      <c r="B124" s="121">
        <v>4024</v>
      </c>
      <c r="C124" s="122" t="s">
        <v>342</v>
      </c>
      <c r="D124" s="122" t="s">
        <v>343</v>
      </c>
      <c r="E124" s="122" t="s">
        <v>51</v>
      </c>
      <c r="F124" s="123">
        <v>11500</v>
      </c>
      <c r="G124" s="124">
        <v>11</v>
      </c>
      <c r="H124" s="125">
        <v>34.5</v>
      </c>
      <c r="I124" s="126">
        <f t="shared" si="10"/>
        <v>4080.6451612903224</v>
      </c>
      <c r="J124" s="126">
        <f t="shared" si="11"/>
        <v>1599.7983870967741</v>
      </c>
      <c r="K124" s="126">
        <f t="shared" si="19"/>
        <v>5680.4435483870966</v>
      </c>
      <c r="L124" s="127">
        <v>5</v>
      </c>
      <c r="M124" s="127">
        <v>0</v>
      </c>
      <c r="N124" s="127">
        <v>0</v>
      </c>
      <c r="O124" s="127">
        <v>0</v>
      </c>
      <c r="P124" s="127">
        <v>52</v>
      </c>
      <c r="Q124" s="129"/>
      <c r="R124" s="126">
        <f t="shared" si="16"/>
        <v>5680.4435483870966</v>
      </c>
      <c r="S124" s="126">
        <f t="shared" si="17"/>
        <v>57</v>
      </c>
      <c r="T124" s="126">
        <f t="shared" si="18"/>
        <v>5623.4435483870966</v>
      </c>
    </row>
    <row r="125" spans="1:20" s="6" customFormat="1" ht="54.75" customHeight="1" x14ac:dyDescent="0.5">
      <c r="A125" s="120">
        <v>123</v>
      </c>
      <c r="B125" s="121">
        <v>4032</v>
      </c>
      <c r="C125" s="122" t="s">
        <v>351</v>
      </c>
      <c r="D125" s="122" t="s">
        <v>352</v>
      </c>
      <c r="E125" s="122" t="s">
        <v>51</v>
      </c>
      <c r="F125" s="123">
        <v>14000</v>
      </c>
      <c r="G125" s="124">
        <v>15</v>
      </c>
      <c r="H125" s="125">
        <v>49</v>
      </c>
      <c r="I125" s="126">
        <f t="shared" si="10"/>
        <v>6774.1935483870966</v>
      </c>
      <c r="J125" s="126">
        <f t="shared" si="11"/>
        <v>2766.1290322580644</v>
      </c>
      <c r="K125" s="126">
        <f t="shared" si="19"/>
        <v>9540.322580645161</v>
      </c>
      <c r="L125" s="127">
        <v>5</v>
      </c>
      <c r="M125" s="127">
        <v>0</v>
      </c>
      <c r="N125" s="127">
        <v>0</v>
      </c>
      <c r="O125" s="127">
        <v>0</v>
      </c>
      <c r="P125" s="127">
        <v>76</v>
      </c>
      <c r="Q125" s="129"/>
      <c r="R125" s="126">
        <f t="shared" si="16"/>
        <v>9540.322580645161</v>
      </c>
      <c r="S125" s="126">
        <f t="shared" si="17"/>
        <v>81</v>
      </c>
      <c r="T125" s="126">
        <f t="shared" si="18"/>
        <v>9459.322580645161</v>
      </c>
    </row>
    <row r="126" spans="1:20" s="6" customFormat="1" ht="54.75" customHeight="1" x14ac:dyDescent="0.5">
      <c r="A126" s="120">
        <v>124</v>
      </c>
      <c r="B126" s="121">
        <v>4033</v>
      </c>
      <c r="C126" s="122" t="s">
        <v>353</v>
      </c>
      <c r="D126" s="122" t="s">
        <v>354</v>
      </c>
      <c r="E126" s="122" t="s">
        <v>51</v>
      </c>
      <c r="F126" s="123">
        <v>12500</v>
      </c>
      <c r="G126" s="124">
        <v>29</v>
      </c>
      <c r="H126" s="125">
        <v>106</v>
      </c>
      <c r="I126" s="126">
        <f t="shared" si="10"/>
        <v>11693.548387096775</v>
      </c>
      <c r="J126" s="126">
        <f t="shared" si="11"/>
        <v>5342.7419354838712</v>
      </c>
      <c r="K126" s="126">
        <f t="shared" si="19"/>
        <v>17036.290322580644</v>
      </c>
      <c r="L126" s="127">
        <v>5</v>
      </c>
      <c r="M126" s="127">
        <v>0</v>
      </c>
      <c r="N126" s="127">
        <v>3500</v>
      </c>
      <c r="O126" s="127">
        <v>0</v>
      </c>
      <c r="P126" s="127">
        <v>106</v>
      </c>
      <c r="Q126" s="129"/>
      <c r="R126" s="126">
        <f t="shared" si="16"/>
        <v>17036.290322580644</v>
      </c>
      <c r="S126" s="126">
        <f t="shared" si="17"/>
        <v>3611</v>
      </c>
      <c r="T126" s="126">
        <f t="shared" si="18"/>
        <v>13425.290322580644</v>
      </c>
    </row>
    <row r="127" spans="1:20" s="6" customFormat="1" ht="54.75" customHeight="1" x14ac:dyDescent="0.5">
      <c r="A127" s="120">
        <v>125</v>
      </c>
      <c r="B127" s="121">
        <v>4034</v>
      </c>
      <c r="C127" s="122" t="s">
        <v>355</v>
      </c>
      <c r="D127" s="122" t="s">
        <v>356</v>
      </c>
      <c r="E127" s="122" t="s">
        <v>51</v>
      </c>
      <c r="F127" s="123">
        <v>12000</v>
      </c>
      <c r="G127" s="124">
        <v>24</v>
      </c>
      <c r="H127" s="125">
        <v>78.5</v>
      </c>
      <c r="I127" s="126">
        <f t="shared" si="10"/>
        <v>9290.3225806451628</v>
      </c>
      <c r="J127" s="126">
        <f t="shared" si="11"/>
        <v>3798.3870967741937</v>
      </c>
      <c r="K127" s="126">
        <f t="shared" si="19"/>
        <v>13088.709677419356</v>
      </c>
      <c r="L127" s="127">
        <v>5</v>
      </c>
      <c r="M127" s="127">
        <v>0</v>
      </c>
      <c r="N127" s="127">
        <v>3500</v>
      </c>
      <c r="O127" s="127">
        <v>0</v>
      </c>
      <c r="P127" s="127">
        <v>92</v>
      </c>
      <c r="Q127" s="129"/>
      <c r="R127" s="126">
        <f t="shared" si="16"/>
        <v>13088.709677419356</v>
      </c>
      <c r="S127" s="126">
        <f t="shared" si="17"/>
        <v>3597</v>
      </c>
      <c r="T127" s="126">
        <f t="shared" si="18"/>
        <v>9491.709677419356</v>
      </c>
    </row>
    <row r="128" spans="1:20" s="6" customFormat="1" ht="54.75" customHeight="1" x14ac:dyDescent="0.5">
      <c r="A128" s="120">
        <v>126</v>
      </c>
      <c r="B128" s="121">
        <v>4036</v>
      </c>
      <c r="C128" s="122" t="s">
        <v>359</v>
      </c>
      <c r="D128" s="122" t="s">
        <v>360</v>
      </c>
      <c r="E128" s="122" t="s">
        <v>51</v>
      </c>
      <c r="F128" s="123">
        <v>15500</v>
      </c>
      <c r="G128" s="124">
        <v>31</v>
      </c>
      <c r="H128" s="125">
        <v>153</v>
      </c>
      <c r="I128" s="126">
        <f t="shared" ref="I128:I182" si="20">F128/31*G128</f>
        <v>15500</v>
      </c>
      <c r="J128" s="126">
        <f t="shared" ref="J128:J182" si="21">F128/31/8*H128</f>
        <v>9562.5</v>
      </c>
      <c r="K128" s="126">
        <f t="shared" si="19"/>
        <v>25062.5</v>
      </c>
      <c r="L128" s="127">
        <v>5</v>
      </c>
      <c r="M128" s="127">
        <v>0</v>
      </c>
      <c r="N128" s="127">
        <v>0</v>
      </c>
      <c r="O128" s="127">
        <v>0</v>
      </c>
      <c r="P128" s="127">
        <v>133</v>
      </c>
      <c r="Q128" s="129"/>
      <c r="R128" s="126">
        <f t="shared" ref="R128:R159" si="22">K128</f>
        <v>25062.5</v>
      </c>
      <c r="S128" s="126">
        <f t="shared" ref="S128:S159" si="23">L128+M128+N128+O128+P128+Q128</f>
        <v>138</v>
      </c>
      <c r="T128" s="126">
        <f t="shared" ref="T128:T159" si="24">R128-S128</f>
        <v>24924.5</v>
      </c>
    </row>
    <row r="129" spans="1:20" s="6" customFormat="1" ht="54.75" customHeight="1" x14ac:dyDescent="0.5">
      <c r="A129" s="120">
        <v>127</v>
      </c>
      <c r="B129" s="121">
        <v>4037</v>
      </c>
      <c r="C129" s="122" t="s">
        <v>361</v>
      </c>
      <c r="D129" s="122" t="s">
        <v>362</v>
      </c>
      <c r="E129" s="122" t="s">
        <v>51</v>
      </c>
      <c r="F129" s="123">
        <v>15500</v>
      </c>
      <c r="G129" s="124">
        <v>31</v>
      </c>
      <c r="H129" s="125">
        <v>95.5</v>
      </c>
      <c r="I129" s="126">
        <f t="shared" si="20"/>
        <v>15500</v>
      </c>
      <c r="J129" s="126">
        <f t="shared" si="21"/>
        <v>5968.75</v>
      </c>
      <c r="K129" s="126">
        <f t="shared" si="19"/>
        <v>21468.75</v>
      </c>
      <c r="L129" s="127">
        <v>5</v>
      </c>
      <c r="M129" s="127">
        <v>0</v>
      </c>
      <c r="N129" s="127">
        <v>8000</v>
      </c>
      <c r="O129" s="127">
        <v>0</v>
      </c>
      <c r="P129" s="127">
        <v>133</v>
      </c>
      <c r="Q129" s="129"/>
      <c r="R129" s="126">
        <f t="shared" si="22"/>
        <v>21468.75</v>
      </c>
      <c r="S129" s="126">
        <f t="shared" si="23"/>
        <v>8138</v>
      </c>
      <c r="T129" s="126">
        <f t="shared" si="24"/>
        <v>13330.75</v>
      </c>
    </row>
    <row r="130" spans="1:20" s="6" customFormat="1" ht="54.75" customHeight="1" x14ac:dyDescent="0.5">
      <c r="A130" s="120">
        <v>128</v>
      </c>
      <c r="B130" s="121">
        <v>4041</v>
      </c>
      <c r="C130" s="122" t="s">
        <v>369</v>
      </c>
      <c r="D130" s="122" t="s">
        <v>370</v>
      </c>
      <c r="E130" s="122" t="s">
        <v>51</v>
      </c>
      <c r="F130" s="123">
        <v>12000</v>
      </c>
      <c r="G130" s="124">
        <v>31</v>
      </c>
      <c r="H130" s="125">
        <v>101.5</v>
      </c>
      <c r="I130" s="126">
        <f t="shared" si="20"/>
        <v>12000</v>
      </c>
      <c r="J130" s="126">
        <f t="shared" si="21"/>
        <v>4911.2903225806458</v>
      </c>
      <c r="K130" s="126">
        <f t="shared" si="19"/>
        <v>16911.290322580644</v>
      </c>
      <c r="L130" s="127">
        <v>5</v>
      </c>
      <c r="M130" s="127">
        <v>0</v>
      </c>
      <c r="N130" s="127">
        <v>4000</v>
      </c>
      <c r="O130" s="127">
        <v>0</v>
      </c>
      <c r="P130" s="127">
        <v>114</v>
      </c>
      <c r="Q130" s="129"/>
      <c r="R130" s="126">
        <f t="shared" si="22"/>
        <v>16911.290322580644</v>
      </c>
      <c r="S130" s="126">
        <f t="shared" si="23"/>
        <v>4119</v>
      </c>
      <c r="T130" s="126">
        <f t="shared" si="24"/>
        <v>12792.290322580644</v>
      </c>
    </row>
    <row r="131" spans="1:20" s="6" customFormat="1" ht="54.75" customHeight="1" x14ac:dyDescent="0.5">
      <c r="A131" s="120">
        <v>129</v>
      </c>
      <c r="B131" s="121">
        <v>4042</v>
      </c>
      <c r="C131" s="122" t="s">
        <v>371</v>
      </c>
      <c r="D131" s="122" t="s">
        <v>372</v>
      </c>
      <c r="E131" s="122" t="s">
        <v>51</v>
      </c>
      <c r="F131" s="123">
        <v>12500</v>
      </c>
      <c r="G131" s="124">
        <v>30</v>
      </c>
      <c r="H131" s="125">
        <v>97.5</v>
      </c>
      <c r="I131" s="126">
        <f t="shared" si="20"/>
        <v>12096.774193548388</v>
      </c>
      <c r="J131" s="126">
        <f t="shared" si="21"/>
        <v>4914.3145161290322</v>
      </c>
      <c r="K131" s="126">
        <f t="shared" si="19"/>
        <v>17011.08870967742</v>
      </c>
      <c r="L131" s="127">
        <v>5</v>
      </c>
      <c r="M131" s="127">
        <v>0</v>
      </c>
      <c r="N131" s="127">
        <v>4000</v>
      </c>
      <c r="O131" s="127">
        <v>0</v>
      </c>
      <c r="P131" s="127">
        <v>110</v>
      </c>
      <c r="Q131" s="129"/>
      <c r="R131" s="126">
        <f t="shared" si="22"/>
        <v>17011.08870967742</v>
      </c>
      <c r="S131" s="126">
        <f t="shared" si="23"/>
        <v>4115</v>
      </c>
      <c r="T131" s="126">
        <f t="shared" si="24"/>
        <v>12896.08870967742</v>
      </c>
    </row>
    <row r="132" spans="1:20" s="6" customFormat="1" ht="54.75" customHeight="1" x14ac:dyDescent="0.5">
      <c r="A132" s="120">
        <v>130</v>
      </c>
      <c r="B132" s="121">
        <v>4043</v>
      </c>
      <c r="C132" s="122" t="s">
        <v>373</v>
      </c>
      <c r="D132" s="122" t="s">
        <v>110</v>
      </c>
      <c r="E132" s="122" t="s">
        <v>51</v>
      </c>
      <c r="F132" s="123">
        <v>13800</v>
      </c>
      <c r="G132" s="124">
        <v>31</v>
      </c>
      <c r="H132" s="125">
        <v>184.5</v>
      </c>
      <c r="I132" s="126">
        <f t="shared" si="20"/>
        <v>13800</v>
      </c>
      <c r="J132" s="126">
        <f t="shared" si="21"/>
        <v>10266.532258064517</v>
      </c>
      <c r="K132" s="126">
        <f t="shared" si="19"/>
        <v>24066.532258064515</v>
      </c>
      <c r="L132" s="127">
        <v>5</v>
      </c>
      <c r="M132" s="127">
        <v>0</v>
      </c>
      <c r="N132" s="127">
        <v>4000</v>
      </c>
      <c r="O132" s="127">
        <v>0</v>
      </c>
      <c r="P132" s="127">
        <v>114</v>
      </c>
      <c r="Q132" s="129"/>
      <c r="R132" s="126">
        <f t="shared" si="22"/>
        <v>24066.532258064515</v>
      </c>
      <c r="S132" s="126">
        <f t="shared" si="23"/>
        <v>4119</v>
      </c>
      <c r="T132" s="126">
        <f t="shared" si="24"/>
        <v>19947.532258064515</v>
      </c>
    </row>
    <row r="133" spans="1:20" s="6" customFormat="1" ht="54.75" customHeight="1" x14ac:dyDescent="0.5">
      <c r="A133" s="120">
        <v>131</v>
      </c>
      <c r="B133" s="121">
        <v>4044</v>
      </c>
      <c r="C133" s="122" t="s">
        <v>374</v>
      </c>
      <c r="D133" s="122" t="s">
        <v>375</v>
      </c>
      <c r="E133" s="122" t="s">
        <v>51</v>
      </c>
      <c r="F133" s="123">
        <v>13000</v>
      </c>
      <c r="G133" s="124">
        <v>31</v>
      </c>
      <c r="H133" s="125">
        <v>125.5</v>
      </c>
      <c r="I133" s="126">
        <f t="shared" si="20"/>
        <v>13000</v>
      </c>
      <c r="J133" s="126">
        <f t="shared" si="21"/>
        <v>6578.6290322580644</v>
      </c>
      <c r="K133" s="126">
        <f t="shared" si="19"/>
        <v>19578.629032258064</v>
      </c>
      <c r="L133" s="127">
        <v>5</v>
      </c>
      <c r="M133" s="127">
        <v>0</v>
      </c>
      <c r="N133" s="127">
        <v>4500</v>
      </c>
      <c r="O133" s="127">
        <v>0</v>
      </c>
      <c r="P133" s="127">
        <v>114</v>
      </c>
      <c r="Q133" s="129"/>
      <c r="R133" s="126">
        <f t="shared" si="22"/>
        <v>19578.629032258064</v>
      </c>
      <c r="S133" s="126">
        <f t="shared" si="23"/>
        <v>4619</v>
      </c>
      <c r="T133" s="126">
        <f t="shared" si="24"/>
        <v>14959.629032258064</v>
      </c>
    </row>
    <row r="134" spans="1:20" s="6" customFormat="1" ht="54.75" customHeight="1" x14ac:dyDescent="0.5">
      <c r="A134" s="120">
        <v>132</v>
      </c>
      <c r="B134" s="121">
        <v>4045</v>
      </c>
      <c r="C134" s="122" t="s">
        <v>376</v>
      </c>
      <c r="D134" s="122" t="s">
        <v>377</v>
      </c>
      <c r="E134" s="122" t="s">
        <v>51</v>
      </c>
      <c r="F134" s="123">
        <v>14000</v>
      </c>
      <c r="G134" s="124">
        <v>30</v>
      </c>
      <c r="H134" s="125">
        <v>102</v>
      </c>
      <c r="I134" s="126">
        <f t="shared" si="20"/>
        <v>13548.387096774193</v>
      </c>
      <c r="J134" s="126">
        <f t="shared" si="21"/>
        <v>5758.0645161290322</v>
      </c>
      <c r="K134" s="126">
        <f t="shared" si="19"/>
        <v>19306.451612903227</v>
      </c>
      <c r="L134" s="127">
        <v>5</v>
      </c>
      <c r="M134" s="127">
        <v>0</v>
      </c>
      <c r="N134" s="127">
        <v>3000</v>
      </c>
      <c r="O134" s="127">
        <v>0</v>
      </c>
      <c r="P134" s="127">
        <v>110</v>
      </c>
      <c r="Q134" s="129"/>
      <c r="R134" s="126">
        <f t="shared" si="22"/>
        <v>19306.451612903227</v>
      </c>
      <c r="S134" s="126">
        <f t="shared" si="23"/>
        <v>3115</v>
      </c>
      <c r="T134" s="126">
        <f t="shared" si="24"/>
        <v>16191.451612903227</v>
      </c>
    </row>
    <row r="135" spans="1:20" s="6" customFormat="1" ht="54.75" customHeight="1" x14ac:dyDescent="0.5">
      <c r="A135" s="120">
        <v>133</v>
      </c>
      <c r="B135" s="121">
        <v>4048</v>
      </c>
      <c r="C135" s="122" t="s">
        <v>382</v>
      </c>
      <c r="D135" s="122" t="s">
        <v>383</v>
      </c>
      <c r="E135" s="122" t="s">
        <v>51</v>
      </c>
      <c r="F135" s="123">
        <v>14000</v>
      </c>
      <c r="G135" s="124">
        <v>20</v>
      </c>
      <c r="H135" s="125">
        <v>199.5</v>
      </c>
      <c r="I135" s="126">
        <f t="shared" si="20"/>
        <v>9032.2580645161288</v>
      </c>
      <c r="J135" s="126">
        <f t="shared" si="21"/>
        <v>11262.096774193549</v>
      </c>
      <c r="K135" s="126">
        <f t="shared" si="19"/>
        <v>20294.354838709678</v>
      </c>
      <c r="L135" s="127">
        <v>5</v>
      </c>
      <c r="M135" s="127">
        <v>0</v>
      </c>
      <c r="N135" s="127">
        <v>4500</v>
      </c>
      <c r="O135" s="127">
        <v>0</v>
      </c>
      <c r="P135" s="127">
        <v>73</v>
      </c>
      <c r="Q135" s="129"/>
      <c r="R135" s="126">
        <f t="shared" si="22"/>
        <v>20294.354838709678</v>
      </c>
      <c r="S135" s="126">
        <f t="shared" si="23"/>
        <v>4578</v>
      </c>
      <c r="T135" s="126">
        <f t="shared" si="24"/>
        <v>15716.354838709678</v>
      </c>
    </row>
    <row r="136" spans="1:20" s="6" customFormat="1" ht="54.75" customHeight="1" x14ac:dyDescent="0.5">
      <c r="A136" s="120">
        <v>134</v>
      </c>
      <c r="B136" s="121">
        <v>4052</v>
      </c>
      <c r="C136" s="122" t="s">
        <v>390</v>
      </c>
      <c r="D136" s="122" t="s">
        <v>391</v>
      </c>
      <c r="E136" s="122" t="s">
        <v>51</v>
      </c>
      <c r="F136" s="123">
        <v>11500</v>
      </c>
      <c r="G136" s="124">
        <v>19</v>
      </c>
      <c r="H136" s="125">
        <v>236.5</v>
      </c>
      <c r="I136" s="126">
        <f t="shared" si="20"/>
        <v>7048.3870967741932</v>
      </c>
      <c r="J136" s="126">
        <f t="shared" si="21"/>
        <v>10966.733870967741</v>
      </c>
      <c r="K136" s="126">
        <f t="shared" si="19"/>
        <v>18015.120967741932</v>
      </c>
      <c r="L136" s="127">
        <v>5</v>
      </c>
      <c r="M136" s="127">
        <v>0</v>
      </c>
      <c r="N136" s="127">
        <v>4000</v>
      </c>
      <c r="O136" s="127">
        <v>0</v>
      </c>
      <c r="P136" s="127">
        <v>73</v>
      </c>
      <c r="Q136" s="129"/>
      <c r="R136" s="126">
        <f t="shared" si="22"/>
        <v>18015.120967741932</v>
      </c>
      <c r="S136" s="126">
        <f t="shared" si="23"/>
        <v>4078</v>
      </c>
      <c r="T136" s="126">
        <f t="shared" si="24"/>
        <v>13937.120967741932</v>
      </c>
    </row>
    <row r="137" spans="1:20" s="6" customFormat="1" ht="54.75" customHeight="1" x14ac:dyDescent="0.5">
      <c r="A137" s="120">
        <v>135</v>
      </c>
      <c r="B137" s="121">
        <v>4055</v>
      </c>
      <c r="C137" s="122" t="s">
        <v>277</v>
      </c>
      <c r="D137" s="122" t="s">
        <v>396</v>
      </c>
      <c r="E137" s="122" t="s">
        <v>51</v>
      </c>
      <c r="F137" s="123">
        <v>12000</v>
      </c>
      <c r="G137" s="124">
        <v>17</v>
      </c>
      <c r="H137" s="125">
        <v>136</v>
      </c>
      <c r="I137" s="126">
        <f t="shared" si="20"/>
        <v>6580.6451612903229</v>
      </c>
      <c r="J137" s="126">
        <f t="shared" si="21"/>
        <v>6580.6451612903229</v>
      </c>
      <c r="K137" s="126">
        <f t="shared" si="19"/>
        <v>13161.290322580646</v>
      </c>
      <c r="L137" s="127">
        <v>5</v>
      </c>
      <c r="M137" s="127">
        <v>0</v>
      </c>
      <c r="N137" s="127">
        <v>2400</v>
      </c>
      <c r="O137" s="127">
        <v>0</v>
      </c>
      <c r="P137" s="127">
        <v>62</v>
      </c>
      <c r="Q137" s="129"/>
      <c r="R137" s="126">
        <f t="shared" si="22"/>
        <v>13161.290322580646</v>
      </c>
      <c r="S137" s="126">
        <f t="shared" si="23"/>
        <v>2467</v>
      </c>
      <c r="T137" s="126">
        <f t="shared" si="24"/>
        <v>10694.290322580646</v>
      </c>
    </row>
    <row r="138" spans="1:20" s="6" customFormat="1" ht="54.75" customHeight="1" x14ac:dyDescent="0.5">
      <c r="A138" s="120">
        <v>136</v>
      </c>
      <c r="B138" s="121">
        <v>4057</v>
      </c>
      <c r="C138" s="122" t="s">
        <v>399</v>
      </c>
      <c r="D138" s="122" t="s">
        <v>400</v>
      </c>
      <c r="E138" s="122" t="s">
        <v>51</v>
      </c>
      <c r="F138" s="123">
        <v>14000</v>
      </c>
      <c r="G138" s="124">
        <v>20</v>
      </c>
      <c r="H138" s="125">
        <v>103.5</v>
      </c>
      <c r="I138" s="126">
        <f t="shared" si="20"/>
        <v>9032.2580645161288</v>
      </c>
      <c r="J138" s="126">
        <f t="shared" si="21"/>
        <v>5842.7419354838712</v>
      </c>
      <c r="K138" s="126">
        <f t="shared" si="19"/>
        <v>14875</v>
      </c>
      <c r="L138" s="127">
        <v>5</v>
      </c>
      <c r="M138" s="127">
        <v>0</v>
      </c>
      <c r="N138" s="127">
        <v>1000</v>
      </c>
      <c r="O138" s="127">
        <v>0</v>
      </c>
      <c r="P138" s="127">
        <v>41</v>
      </c>
      <c r="Q138" s="129"/>
      <c r="R138" s="126">
        <f t="shared" si="22"/>
        <v>14875</v>
      </c>
      <c r="S138" s="126">
        <f t="shared" si="23"/>
        <v>1046</v>
      </c>
      <c r="T138" s="126">
        <f t="shared" si="24"/>
        <v>13829</v>
      </c>
    </row>
    <row r="139" spans="1:20" s="6" customFormat="1" ht="54.75" customHeight="1" x14ac:dyDescent="0.5">
      <c r="A139" s="120">
        <v>137</v>
      </c>
      <c r="B139" s="121">
        <v>4060</v>
      </c>
      <c r="C139" s="122" t="s">
        <v>405</v>
      </c>
      <c r="D139" s="122" t="s">
        <v>406</v>
      </c>
      <c r="E139" s="122" t="s">
        <v>51</v>
      </c>
      <c r="F139" s="123">
        <v>12000</v>
      </c>
      <c r="G139" s="124">
        <v>19</v>
      </c>
      <c r="H139" s="125">
        <v>199</v>
      </c>
      <c r="I139" s="126">
        <f t="shared" si="20"/>
        <v>7354.8387096774195</v>
      </c>
      <c r="J139" s="126">
        <f t="shared" si="21"/>
        <v>9629.032258064517</v>
      </c>
      <c r="K139" s="126">
        <f t="shared" si="19"/>
        <v>16983.870967741936</v>
      </c>
      <c r="L139" s="127">
        <v>5</v>
      </c>
      <c r="M139" s="127">
        <v>0</v>
      </c>
      <c r="N139" s="127">
        <v>4560</v>
      </c>
      <c r="O139" s="127">
        <v>0</v>
      </c>
      <c r="P139" s="127">
        <v>66</v>
      </c>
      <c r="Q139" s="129"/>
      <c r="R139" s="126">
        <f t="shared" si="22"/>
        <v>16983.870967741936</v>
      </c>
      <c r="S139" s="126">
        <f t="shared" si="23"/>
        <v>4631</v>
      </c>
      <c r="T139" s="126">
        <f t="shared" si="24"/>
        <v>12352.870967741936</v>
      </c>
    </row>
    <row r="140" spans="1:20" s="6" customFormat="1" ht="54.75" customHeight="1" x14ac:dyDescent="0.5">
      <c r="A140" s="120">
        <v>138</v>
      </c>
      <c r="B140" s="121">
        <v>4062</v>
      </c>
      <c r="C140" s="122" t="s">
        <v>409</v>
      </c>
      <c r="D140" s="122" t="s">
        <v>410</v>
      </c>
      <c r="E140" s="122" t="s">
        <v>51</v>
      </c>
      <c r="F140" s="123">
        <v>11500</v>
      </c>
      <c r="G140" s="124">
        <v>6</v>
      </c>
      <c r="H140" s="125">
        <v>100</v>
      </c>
      <c r="I140" s="126">
        <f t="shared" si="20"/>
        <v>2225.8064516129029</v>
      </c>
      <c r="J140" s="126">
        <f t="shared" si="21"/>
        <v>4637.0967741935483</v>
      </c>
      <c r="K140" s="126">
        <f t="shared" ref="K140:K171" si="25">I140+J140</f>
        <v>6862.9032258064508</v>
      </c>
      <c r="L140" s="127">
        <v>5</v>
      </c>
      <c r="M140" s="127">
        <v>0</v>
      </c>
      <c r="N140" s="127">
        <v>1500</v>
      </c>
      <c r="O140" s="127">
        <v>0</v>
      </c>
      <c r="P140" s="127">
        <v>0</v>
      </c>
      <c r="Q140" s="129"/>
      <c r="R140" s="126">
        <f t="shared" si="22"/>
        <v>6862.9032258064508</v>
      </c>
      <c r="S140" s="126">
        <f t="shared" si="23"/>
        <v>1505</v>
      </c>
      <c r="T140" s="126">
        <f t="shared" si="24"/>
        <v>5357.9032258064508</v>
      </c>
    </row>
    <row r="141" spans="1:20" s="6" customFormat="1" ht="54.75" customHeight="1" x14ac:dyDescent="0.5">
      <c r="A141" s="120">
        <v>139</v>
      </c>
      <c r="B141" s="121">
        <v>4063</v>
      </c>
      <c r="C141" s="122" t="s">
        <v>411</v>
      </c>
      <c r="D141" s="122" t="s">
        <v>412</v>
      </c>
      <c r="E141" s="122" t="s">
        <v>51</v>
      </c>
      <c r="F141" s="123">
        <v>11500</v>
      </c>
      <c r="G141" s="124">
        <v>10</v>
      </c>
      <c r="H141" s="125">
        <v>271.5</v>
      </c>
      <c r="I141" s="126">
        <f t="shared" si="20"/>
        <v>3709.6774193548385</v>
      </c>
      <c r="J141" s="126">
        <f t="shared" si="21"/>
        <v>12589.717741935483</v>
      </c>
      <c r="K141" s="126">
        <f t="shared" si="25"/>
        <v>16299.395161290322</v>
      </c>
      <c r="L141" s="127">
        <v>5</v>
      </c>
      <c r="M141" s="127">
        <v>0</v>
      </c>
      <c r="N141" s="127">
        <v>2200</v>
      </c>
      <c r="O141" s="127">
        <v>0</v>
      </c>
      <c r="P141" s="127">
        <v>41</v>
      </c>
      <c r="Q141" s="129"/>
      <c r="R141" s="126">
        <f t="shared" si="22"/>
        <v>16299.395161290322</v>
      </c>
      <c r="S141" s="126">
        <f t="shared" si="23"/>
        <v>2246</v>
      </c>
      <c r="T141" s="126">
        <f t="shared" si="24"/>
        <v>14053.395161290322</v>
      </c>
    </row>
    <row r="142" spans="1:20" s="6" customFormat="1" ht="54.75" customHeight="1" x14ac:dyDescent="0.5">
      <c r="A142" s="120">
        <v>140</v>
      </c>
      <c r="B142" s="121">
        <v>4068</v>
      </c>
      <c r="C142" s="122" t="s">
        <v>419</v>
      </c>
      <c r="D142" s="122" t="s">
        <v>420</v>
      </c>
      <c r="E142" s="122" t="s">
        <v>51</v>
      </c>
      <c r="F142" s="123">
        <v>13000</v>
      </c>
      <c r="G142" s="124">
        <v>13</v>
      </c>
      <c r="H142" s="125">
        <v>42</v>
      </c>
      <c r="I142" s="126">
        <f t="shared" si="20"/>
        <v>5451.6129032258068</v>
      </c>
      <c r="J142" s="126">
        <f t="shared" si="21"/>
        <v>2201.6129032258063</v>
      </c>
      <c r="K142" s="126">
        <f t="shared" si="25"/>
        <v>7653.2258064516136</v>
      </c>
      <c r="L142" s="127">
        <v>5</v>
      </c>
      <c r="M142" s="127">
        <v>0</v>
      </c>
      <c r="N142" s="127">
        <v>0</v>
      </c>
      <c r="O142" s="127">
        <v>0</v>
      </c>
      <c r="P142" s="127">
        <v>0</v>
      </c>
      <c r="Q142" s="129"/>
      <c r="R142" s="126">
        <f t="shared" si="22"/>
        <v>7653.2258064516136</v>
      </c>
      <c r="S142" s="126">
        <f t="shared" si="23"/>
        <v>5</v>
      </c>
      <c r="T142" s="126">
        <f t="shared" si="24"/>
        <v>7648.2258064516136</v>
      </c>
    </row>
    <row r="143" spans="1:20" s="6" customFormat="1" ht="54.75" customHeight="1" x14ac:dyDescent="0.5">
      <c r="A143" s="120">
        <v>141</v>
      </c>
      <c r="B143" s="121">
        <v>4070</v>
      </c>
      <c r="C143" s="122" t="s">
        <v>423</v>
      </c>
      <c r="D143" s="122" t="s">
        <v>424</v>
      </c>
      <c r="E143" s="122" t="s">
        <v>51</v>
      </c>
      <c r="F143" s="123">
        <v>11500</v>
      </c>
      <c r="G143" s="124">
        <v>11</v>
      </c>
      <c r="H143" s="125">
        <v>251</v>
      </c>
      <c r="I143" s="126">
        <f t="shared" si="20"/>
        <v>4080.6451612903224</v>
      </c>
      <c r="J143" s="126">
        <f t="shared" si="21"/>
        <v>11639.112903225805</v>
      </c>
      <c r="K143" s="126">
        <f t="shared" si="25"/>
        <v>15719.758064516127</v>
      </c>
      <c r="L143" s="127">
        <v>5</v>
      </c>
      <c r="M143" s="127">
        <v>0</v>
      </c>
      <c r="N143" s="127">
        <v>1000</v>
      </c>
      <c r="O143" s="127">
        <v>0</v>
      </c>
      <c r="P143" s="127">
        <v>0</v>
      </c>
      <c r="Q143" s="129"/>
      <c r="R143" s="126">
        <f t="shared" si="22"/>
        <v>15719.758064516127</v>
      </c>
      <c r="S143" s="126">
        <f t="shared" si="23"/>
        <v>1005</v>
      </c>
      <c r="T143" s="126">
        <f t="shared" si="24"/>
        <v>14714.758064516127</v>
      </c>
    </row>
    <row r="144" spans="1:20" s="6" customFormat="1" ht="54.75" customHeight="1" x14ac:dyDescent="0.5">
      <c r="A144" s="120">
        <v>142</v>
      </c>
      <c r="B144" s="121">
        <v>4071</v>
      </c>
      <c r="C144" s="122" t="s">
        <v>425</v>
      </c>
      <c r="D144" s="122" t="s">
        <v>426</v>
      </c>
      <c r="E144" s="122" t="s">
        <v>51</v>
      </c>
      <c r="F144" s="123">
        <v>14000</v>
      </c>
      <c r="G144" s="124">
        <v>5</v>
      </c>
      <c r="H144" s="125">
        <v>145.5</v>
      </c>
      <c r="I144" s="126">
        <f t="shared" si="20"/>
        <v>2258.0645161290322</v>
      </c>
      <c r="J144" s="126">
        <f t="shared" si="21"/>
        <v>8213.7096774193542</v>
      </c>
      <c r="K144" s="126">
        <f t="shared" si="25"/>
        <v>10471.774193548386</v>
      </c>
      <c r="L144" s="127">
        <v>5</v>
      </c>
      <c r="M144" s="127">
        <v>0</v>
      </c>
      <c r="N144" s="127">
        <v>1000</v>
      </c>
      <c r="O144" s="127">
        <v>0</v>
      </c>
      <c r="P144" s="127">
        <v>0</v>
      </c>
      <c r="Q144" s="129"/>
      <c r="R144" s="126">
        <f t="shared" si="22"/>
        <v>10471.774193548386</v>
      </c>
      <c r="S144" s="126">
        <f t="shared" si="23"/>
        <v>1005</v>
      </c>
      <c r="T144" s="126">
        <f t="shared" si="24"/>
        <v>9466.7741935483864</v>
      </c>
    </row>
    <row r="145" spans="1:20" s="6" customFormat="1" ht="54.75" customHeight="1" x14ac:dyDescent="0.5">
      <c r="A145" s="120">
        <v>143</v>
      </c>
      <c r="B145" s="121">
        <v>4073</v>
      </c>
      <c r="C145" s="122" t="s">
        <v>429</v>
      </c>
      <c r="D145" s="122" t="s">
        <v>430</v>
      </c>
      <c r="E145" s="122" t="s">
        <v>51</v>
      </c>
      <c r="F145" s="123">
        <v>13500</v>
      </c>
      <c r="G145" s="124">
        <v>7</v>
      </c>
      <c r="H145" s="125">
        <v>99.5</v>
      </c>
      <c r="I145" s="126">
        <f t="shared" si="20"/>
        <v>3048.3870967741937</v>
      </c>
      <c r="J145" s="126">
        <f t="shared" si="21"/>
        <v>5416.3306451612907</v>
      </c>
      <c r="K145" s="126">
        <f t="shared" si="25"/>
        <v>8464.7177419354848</v>
      </c>
      <c r="L145" s="127">
        <v>5</v>
      </c>
      <c r="M145" s="127">
        <v>0</v>
      </c>
      <c r="N145" s="127">
        <v>0</v>
      </c>
      <c r="O145" s="127">
        <v>0</v>
      </c>
      <c r="P145" s="127">
        <v>0</v>
      </c>
      <c r="Q145" s="129"/>
      <c r="R145" s="126">
        <f t="shared" si="22"/>
        <v>8464.7177419354848</v>
      </c>
      <c r="S145" s="126">
        <f t="shared" si="23"/>
        <v>5</v>
      </c>
      <c r="T145" s="126">
        <f t="shared" si="24"/>
        <v>8459.7177419354848</v>
      </c>
    </row>
    <row r="146" spans="1:20" s="6" customFormat="1" ht="54.75" customHeight="1" x14ac:dyDescent="0.5">
      <c r="A146" s="120">
        <v>144</v>
      </c>
      <c r="B146" s="121">
        <v>1751</v>
      </c>
      <c r="C146" s="122" t="s">
        <v>59</v>
      </c>
      <c r="D146" s="122" t="s">
        <v>60</v>
      </c>
      <c r="E146" s="122" t="s">
        <v>61</v>
      </c>
      <c r="F146" s="123">
        <v>33900</v>
      </c>
      <c r="G146" s="124">
        <v>30</v>
      </c>
      <c r="H146" s="125">
        <v>72</v>
      </c>
      <c r="I146" s="126">
        <f t="shared" si="20"/>
        <v>32806.451612903227</v>
      </c>
      <c r="J146" s="126">
        <f t="shared" si="21"/>
        <v>9841.9354838709678</v>
      </c>
      <c r="K146" s="126">
        <f t="shared" si="25"/>
        <v>42648.387096774197</v>
      </c>
      <c r="L146" s="127">
        <v>5</v>
      </c>
      <c r="M146" s="127">
        <v>200</v>
      </c>
      <c r="N146" s="127">
        <v>0</v>
      </c>
      <c r="O146" s="127">
        <v>0</v>
      </c>
      <c r="P146" s="127">
        <v>0</v>
      </c>
      <c r="Q146" s="129"/>
      <c r="R146" s="126">
        <f t="shared" si="22"/>
        <v>42648.387096774197</v>
      </c>
      <c r="S146" s="126">
        <f t="shared" si="23"/>
        <v>205</v>
      </c>
      <c r="T146" s="126">
        <f t="shared" si="24"/>
        <v>42443.387096774197</v>
      </c>
    </row>
    <row r="147" spans="1:20" s="6" customFormat="1" ht="54.75" customHeight="1" x14ac:dyDescent="0.5">
      <c r="A147" s="120">
        <v>145</v>
      </c>
      <c r="B147" s="121">
        <v>3639</v>
      </c>
      <c r="C147" s="122" t="s">
        <v>172</v>
      </c>
      <c r="D147" s="122" t="s">
        <v>173</v>
      </c>
      <c r="E147" s="122" t="s">
        <v>61</v>
      </c>
      <c r="F147" s="123">
        <v>10800</v>
      </c>
      <c r="G147" s="124">
        <v>14</v>
      </c>
      <c r="H147" s="125">
        <v>46.5</v>
      </c>
      <c r="I147" s="126">
        <f t="shared" si="20"/>
        <v>4877.4193548387093</v>
      </c>
      <c r="J147" s="126">
        <f t="shared" si="21"/>
        <v>2025</v>
      </c>
      <c r="K147" s="126">
        <f t="shared" si="25"/>
        <v>6902.4193548387093</v>
      </c>
      <c r="L147" s="127">
        <v>5</v>
      </c>
      <c r="M147" s="127">
        <v>0</v>
      </c>
      <c r="N147" s="127">
        <v>0</v>
      </c>
      <c r="O147" s="127">
        <v>0</v>
      </c>
      <c r="P147" s="127">
        <v>62</v>
      </c>
      <c r="Q147" s="129"/>
      <c r="R147" s="126">
        <f t="shared" si="22"/>
        <v>6902.4193548387093</v>
      </c>
      <c r="S147" s="126">
        <f t="shared" si="23"/>
        <v>67</v>
      </c>
      <c r="T147" s="126">
        <f t="shared" si="24"/>
        <v>6835.4193548387093</v>
      </c>
    </row>
    <row r="148" spans="1:20" s="6" customFormat="1" ht="54.75" customHeight="1" x14ac:dyDescent="0.5">
      <c r="A148" s="120">
        <v>146</v>
      </c>
      <c r="B148" s="121">
        <v>3813</v>
      </c>
      <c r="C148" s="122" t="s">
        <v>70</v>
      </c>
      <c r="D148" s="122" t="s">
        <v>224</v>
      </c>
      <c r="E148" s="122" t="s">
        <v>61</v>
      </c>
      <c r="F148" s="123">
        <v>20200</v>
      </c>
      <c r="G148" s="124">
        <v>31</v>
      </c>
      <c r="H148" s="125">
        <v>99</v>
      </c>
      <c r="I148" s="126">
        <f t="shared" si="20"/>
        <v>20200</v>
      </c>
      <c r="J148" s="126">
        <f t="shared" si="21"/>
        <v>8063.7096774193551</v>
      </c>
      <c r="K148" s="126">
        <f t="shared" si="25"/>
        <v>28263.709677419356</v>
      </c>
      <c r="L148" s="127">
        <v>5</v>
      </c>
      <c r="M148" s="127">
        <v>200</v>
      </c>
      <c r="N148" s="127">
        <v>0</v>
      </c>
      <c r="O148" s="127">
        <v>0</v>
      </c>
      <c r="P148" s="127">
        <v>158</v>
      </c>
      <c r="Q148" s="129"/>
      <c r="R148" s="126">
        <f t="shared" si="22"/>
        <v>28263.709677419356</v>
      </c>
      <c r="S148" s="126">
        <f t="shared" si="23"/>
        <v>363</v>
      </c>
      <c r="T148" s="126">
        <f t="shared" si="24"/>
        <v>27900.709677419356</v>
      </c>
    </row>
    <row r="149" spans="1:20" s="6" customFormat="1" ht="54.75" customHeight="1" x14ac:dyDescent="0.5">
      <c r="A149" s="120">
        <v>147</v>
      </c>
      <c r="B149" s="121">
        <v>3894</v>
      </c>
      <c r="C149" s="122" t="s">
        <v>246</v>
      </c>
      <c r="D149" s="122" t="s">
        <v>247</v>
      </c>
      <c r="E149" s="122" t="s">
        <v>61</v>
      </c>
      <c r="F149" s="123">
        <v>11000</v>
      </c>
      <c r="G149" s="124">
        <v>31</v>
      </c>
      <c r="H149" s="125">
        <v>152.5</v>
      </c>
      <c r="I149" s="126">
        <f t="shared" si="20"/>
        <v>11000</v>
      </c>
      <c r="J149" s="126">
        <f t="shared" si="21"/>
        <v>6764.1129032258059</v>
      </c>
      <c r="K149" s="126">
        <f t="shared" si="25"/>
        <v>17764.112903225807</v>
      </c>
      <c r="L149" s="127">
        <v>5</v>
      </c>
      <c r="M149" s="127">
        <v>0</v>
      </c>
      <c r="N149" s="127">
        <v>2500</v>
      </c>
      <c r="O149" s="127">
        <v>0</v>
      </c>
      <c r="P149" s="127">
        <v>114</v>
      </c>
      <c r="Q149" s="129"/>
      <c r="R149" s="126">
        <f t="shared" si="22"/>
        <v>17764.112903225807</v>
      </c>
      <c r="S149" s="126">
        <f t="shared" si="23"/>
        <v>2619</v>
      </c>
      <c r="T149" s="126">
        <f t="shared" si="24"/>
        <v>15145.112903225807</v>
      </c>
    </row>
    <row r="150" spans="1:20" s="6" customFormat="1" ht="54.75" customHeight="1" x14ac:dyDescent="0.5">
      <c r="A150" s="120">
        <v>148</v>
      </c>
      <c r="B150" s="121">
        <v>4078</v>
      </c>
      <c r="C150" s="122" t="s">
        <v>438</v>
      </c>
      <c r="D150" s="122" t="s">
        <v>439</v>
      </c>
      <c r="E150" s="122" t="s">
        <v>61</v>
      </c>
      <c r="F150" s="123">
        <v>12000</v>
      </c>
      <c r="G150" s="124">
        <v>5</v>
      </c>
      <c r="H150" s="125">
        <v>48</v>
      </c>
      <c r="I150" s="126">
        <f t="shared" si="20"/>
        <v>1935.483870967742</v>
      </c>
      <c r="J150" s="126">
        <f t="shared" si="21"/>
        <v>2322.5806451612907</v>
      </c>
      <c r="K150" s="126">
        <f t="shared" si="25"/>
        <v>4258.0645161290322</v>
      </c>
      <c r="L150" s="127">
        <v>5</v>
      </c>
      <c r="M150" s="127">
        <v>0</v>
      </c>
      <c r="N150" s="127">
        <v>0</v>
      </c>
      <c r="O150" s="127">
        <v>0</v>
      </c>
      <c r="P150" s="127">
        <v>19</v>
      </c>
      <c r="Q150" s="129"/>
      <c r="R150" s="126">
        <f t="shared" si="22"/>
        <v>4258.0645161290322</v>
      </c>
      <c r="S150" s="126">
        <f t="shared" si="23"/>
        <v>24</v>
      </c>
      <c r="T150" s="126">
        <f t="shared" si="24"/>
        <v>4234.0645161290322</v>
      </c>
    </row>
    <row r="151" spans="1:20" s="6" customFormat="1" ht="54.75" customHeight="1" x14ac:dyDescent="0.5">
      <c r="A151" s="120">
        <v>149</v>
      </c>
      <c r="B151" s="121">
        <v>316</v>
      </c>
      <c r="C151" s="122" t="s">
        <v>33</v>
      </c>
      <c r="D151" s="122" t="s">
        <v>34</v>
      </c>
      <c r="E151" s="122" t="s">
        <v>35</v>
      </c>
      <c r="F151" s="123">
        <v>17500</v>
      </c>
      <c r="G151" s="124">
        <v>31</v>
      </c>
      <c r="H151" s="124">
        <v>157</v>
      </c>
      <c r="I151" s="126">
        <f t="shared" si="20"/>
        <v>17500</v>
      </c>
      <c r="J151" s="126">
        <f t="shared" si="21"/>
        <v>11078.629032258064</v>
      </c>
      <c r="K151" s="126">
        <f t="shared" si="25"/>
        <v>28578.629032258064</v>
      </c>
      <c r="L151" s="127">
        <v>5</v>
      </c>
      <c r="M151" s="127">
        <v>200</v>
      </c>
      <c r="N151" s="127">
        <v>0</v>
      </c>
      <c r="O151" s="127">
        <v>1800</v>
      </c>
      <c r="P151" s="127">
        <v>147</v>
      </c>
      <c r="Q151" s="129"/>
      <c r="R151" s="126">
        <f t="shared" si="22"/>
        <v>28578.629032258064</v>
      </c>
      <c r="S151" s="126">
        <f t="shared" si="23"/>
        <v>2152</v>
      </c>
      <c r="T151" s="126">
        <f t="shared" si="24"/>
        <v>26426.629032258064</v>
      </c>
    </row>
    <row r="152" spans="1:20" s="6" customFormat="1" ht="54.75" customHeight="1" x14ac:dyDescent="0.5">
      <c r="A152" s="120">
        <v>150</v>
      </c>
      <c r="B152" s="121">
        <v>2058</v>
      </c>
      <c r="C152" s="122" t="s">
        <v>68</v>
      </c>
      <c r="D152" s="122" t="s">
        <v>69</v>
      </c>
      <c r="E152" s="122" t="s">
        <v>35</v>
      </c>
      <c r="F152" s="123">
        <v>43000</v>
      </c>
      <c r="G152" s="124">
        <v>31</v>
      </c>
      <c r="H152" s="125">
        <v>111</v>
      </c>
      <c r="I152" s="126">
        <f t="shared" si="20"/>
        <v>43000</v>
      </c>
      <c r="J152" s="126">
        <f t="shared" si="21"/>
        <v>19245.967741935481</v>
      </c>
      <c r="K152" s="126">
        <f t="shared" si="25"/>
        <v>62245.967741935485</v>
      </c>
      <c r="L152" s="127">
        <v>5</v>
      </c>
      <c r="M152" s="127">
        <v>200</v>
      </c>
      <c r="N152" s="127">
        <v>0</v>
      </c>
      <c r="O152" s="127">
        <v>0</v>
      </c>
      <c r="P152" s="127">
        <v>0</v>
      </c>
      <c r="Q152" s="129"/>
      <c r="R152" s="126">
        <f t="shared" si="22"/>
        <v>62245.967741935485</v>
      </c>
      <c r="S152" s="126">
        <f t="shared" si="23"/>
        <v>205</v>
      </c>
      <c r="T152" s="126">
        <f t="shared" si="24"/>
        <v>62040.967741935485</v>
      </c>
    </row>
    <row r="153" spans="1:20" s="6" customFormat="1" ht="54.75" customHeight="1" x14ac:dyDescent="0.5">
      <c r="A153" s="120">
        <v>151</v>
      </c>
      <c r="B153" s="121">
        <v>2219</v>
      </c>
      <c r="C153" s="122" t="s">
        <v>72</v>
      </c>
      <c r="D153" s="122" t="s">
        <v>73</v>
      </c>
      <c r="E153" s="122" t="s">
        <v>74</v>
      </c>
      <c r="F153" s="123">
        <v>15300</v>
      </c>
      <c r="G153" s="124">
        <v>31</v>
      </c>
      <c r="H153" s="125">
        <v>216</v>
      </c>
      <c r="I153" s="126">
        <f t="shared" si="20"/>
        <v>15300</v>
      </c>
      <c r="J153" s="126">
        <f t="shared" si="21"/>
        <v>13325.806451612903</v>
      </c>
      <c r="K153" s="126">
        <f t="shared" si="25"/>
        <v>28625.806451612902</v>
      </c>
      <c r="L153" s="127">
        <v>5</v>
      </c>
      <c r="M153" s="127">
        <v>0</v>
      </c>
      <c r="N153" s="127">
        <v>0</v>
      </c>
      <c r="O153" s="127">
        <v>0</v>
      </c>
      <c r="P153" s="127">
        <v>130</v>
      </c>
      <c r="Q153" s="129"/>
      <c r="R153" s="126">
        <f t="shared" si="22"/>
        <v>28625.806451612902</v>
      </c>
      <c r="S153" s="126">
        <f t="shared" si="23"/>
        <v>135</v>
      </c>
      <c r="T153" s="126">
        <f t="shared" si="24"/>
        <v>28490.806451612902</v>
      </c>
    </row>
    <row r="154" spans="1:20" s="6" customFormat="1" ht="54.75" customHeight="1" x14ac:dyDescent="0.5">
      <c r="A154" s="120">
        <v>152</v>
      </c>
      <c r="B154" s="121">
        <v>3633</v>
      </c>
      <c r="C154" s="122" t="s">
        <v>166</v>
      </c>
      <c r="D154" s="122" t="s">
        <v>167</v>
      </c>
      <c r="E154" s="122" t="s">
        <v>74</v>
      </c>
      <c r="F154" s="123">
        <v>17500</v>
      </c>
      <c r="G154" s="124">
        <v>7</v>
      </c>
      <c r="H154" s="125">
        <v>34.5</v>
      </c>
      <c r="I154" s="126">
        <f t="shared" si="20"/>
        <v>3951.6129032258063</v>
      </c>
      <c r="J154" s="126">
        <f t="shared" si="21"/>
        <v>2434.4758064516127</v>
      </c>
      <c r="K154" s="126">
        <f t="shared" si="25"/>
        <v>6386.0887096774186</v>
      </c>
      <c r="L154" s="127">
        <v>5</v>
      </c>
      <c r="M154" s="127">
        <v>0</v>
      </c>
      <c r="N154" s="127">
        <v>0</v>
      </c>
      <c r="O154" s="127">
        <v>0</v>
      </c>
      <c r="P154" s="127">
        <v>48</v>
      </c>
      <c r="Q154" s="129"/>
      <c r="R154" s="126">
        <f t="shared" si="22"/>
        <v>6386.0887096774186</v>
      </c>
      <c r="S154" s="126">
        <f t="shared" si="23"/>
        <v>53</v>
      </c>
      <c r="T154" s="126">
        <f t="shared" si="24"/>
        <v>6333.0887096774186</v>
      </c>
    </row>
    <row r="155" spans="1:20" s="6" customFormat="1" ht="54.75" customHeight="1" x14ac:dyDescent="0.5">
      <c r="A155" s="120">
        <v>153</v>
      </c>
      <c r="B155" s="121">
        <v>3785</v>
      </c>
      <c r="C155" s="122" t="s">
        <v>215</v>
      </c>
      <c r="D155" s="122" t="s">
        <v>216</v>
      </c>
      <c r="E155" s="122" t="s">
        <v>74</v>
      </c>
      <c r="F155" s="123">
        <v>12000</v>
      </c>
      <c r="G155" s="124">
        <v>29</v>
      </c>
      <c r="H155" s="125">
        <v>162</v>
      </c>
      <c r="I155" s="126">
        <f t="shared" si="20"/>
        <v>11225.806451612903</v>
      </c>
      <c r="J155" s="126">
        <f t="shared" si="21"/>
        <v>7838.7096774193551</v>
      </c>
      <c r="K155" s="126">
        <f t="shared" si="25"/>
        <v>19064.516129032258</v>
      </c>
      <c r="L155" s="127">
        <v>5</v>
      </c>
      <c r="M155" s="127">
        <v>0</v>
      </c>
      <c r="N155" s="127">
        <v>2500</v>
      </c>
      <c r="O155" s="127">
        <v>0</v>
      </c>
      <c r="P155" s="127">
        <v>106</v>
      </c>
      <c r="Q155" s="129"/>
      <c r="R155" s="126">
        <f t="shared" si="22"/>
        <v>19064.516129032258</v>
      </c>
      <c r="S155" s="126">
        <f t="shared" si="23"/>
        <v>2611</v>
      </c>
      <c r="T155" s="126">
        <f t="shared" si="24"/>
        <v>16453.516129032258</v>
      </c>
    </row>
    <row r="156" spans="1:20" s="6" customFormat="1" ht="54.75" customHeight="1" x14ac:dyDescent="0.5">
      <c r="A156" s="120">
        <v>154</v>
      </c>
      <c r="B156" s="121">
        <v>3836</v>
      </c>
      <c r="C156" s="122" t="s">
        <v>231</v>
      </c>
      <c r="D156" s="122" t="s">
        <v>232</v>
      </c>
      <c r="E156" s="122" t="s">
        <v>74</v>
      </c>
      <c r="F156" s="123">
        <v>11700</v>
      </c>
      <c r="G156" s="124">
        <v>31</v>
      </c>
      <c r="H156" s="125">
        <v>126</v>
      </c>
      <c r="I156" s="126">
        <f t="shared" si="20"/>
        <v>11700</v>
      </c>
      <c r="J156" s="126">
        <f t="shared" si="21"/>
        <v>5944.354838709678</v>
      </c>
      <c r="K156" s="126">
        <f t="shared" si="25"/>
        <v>17644.354838709678</v>
      </c>
      <c r="L156" s="127">
        <v>5</v>
      </c>
      <c r="M156" s="127">
        <v>0</v>
      </c>
      <c r="N156" s="127">
        <v>2500</v>
      </c>
      <c r="O156" s="127">
        <v>0</v>
      </c>
      <c r="P156" s="127">
        <v>114</v>
      </c>
      <c r="Q156" s="129"/>
      <c r="R156" s="126">
        <f t="shared" si="22"/>
        <v>17644.354838709678</v>
      </c>
      <c r="S156" s="126">
        <f t="shared" si="23"/>
        <v>2619</v>
      </c>
      <c r="T156" s="126">
        <f t="shared" si="24"/>
        <v>15025.354838709678</v>
      </c>
    </row>
    <row r="157" spans="1:20" s="6" customFormat="1" ht="54.75" customHeight="1" x14ac:dyDescent="0.5">
      <c r="A157" s="120">
        <v>155</v>
      </c>
      <c r="B157" s="121">
        <v>3976</v>
      </c>
      <c r="C157" s="122" t="s">
        <v>294</v>
      </c>
      <c r="D157" s="122" t="s">
        <v>295</v>
      </c>
      <c r="E157" s="122" t="s">
        <v>74</v>
      </c>
      <c r="F157" s="123">
        <v>12000</v>
      </c>
      <c r="G157" s="124">
        <v>24</v>
      </c>
      <c r="H157" s="125">
        <v>118</v>
      </c>
      <c r="I157" s="126">
        <f t="shared" si="20"/>
        <v>9290.3225806451628</v>
      </c>
      <c r="J157" s="126">
        <f t="shared" si="21"/>
        <v>5709.677419354839</v>
      </c>
      <c r="K157" s="126">
        <f t="shared" si="25"/>
        <v>15000.000000000002</v>
      </c>
      <c r="L157" s="127">
        <v>5</v>
      </c>
      <c r="M157" s="127">
        <v>0</v>
      </c>
      <c r="N157" s="127">
        <v>2000</v>
      </c>
      <c r="O157" s="127">
        <v>0</v>
      </c>
      <c r="P157" s="127">
        <v>92</v>
      </c>
      <c r="Q157" s="129"/>
      <c r="R157" s="126">
        <f t="shared" si="22"/>
        <v>15000.000000000002</v>
      </c>
      <c r="S157" s="126">
        <f t="shared" si="23"/>
        <v>2097</v>
      </c>
      <c r="T157" s="126">
        <f t="shared" si="24"/>
        <v>12903.000000000002</v>
      </c>
    </row>
    <row r="158" spans="1:20" s="6" customFormat="1" ht="54.75" customHeight="1" x14ac:dyDescent="0.5">
      <c r="A158" s="120">
        <v>156</v>
      </c>
      <c r="B158" s="121">
        <v>3977</v>
      </c>
      <c r="C158" s="122" t="s">
        <v>296</v>
      </c>
      <c r="D158" s="122" t="s">
        <v>297</v>
      </c>
      <c r="E158" s="122" t="s">
        <v>74</v>
      </c>
      <c r="F158" s="123">
        <v>12000</v>
      </c>
      <c r="G158" s="124">
        <v>29</v>
      </c>
      <c r="H158" s="125">
        <v>91</v>
      </c>
      <c r="I158" s="126">
        <f t="shared" si="20"/>
        <v>11225.806451612903</v>
      </c>
      <c r="J158" s="126">
        <f t="shared" si="21"/>
        <v>4403.2258064516136</v>
      </c>
      <c r="K158" s="126">
        <f t="shared" si="25"/>
        <v>15629.032258064517</v>
      </c>
      <c r="L158" s="127">
        <v>5</v>
      </c>
      <c r="M158" s="127">
        <v>0</v>
      </c>
      <c r="N158" s="127">
        <v>2500</v>
      </c>
      <c r="O158" s="127">
        <v>0</v>
      </c>
      <c r="P158" s="127">
        <v>106</v>
      </c>
      <c r="Q158" s="129"/>
      <c r="R158" s="126">
        <f t="shared" si="22"/>
        <v>15629.032258064517</v>
      </c>
      <c r="S158" s="126">
        <f t="shared" si="23"/>
        <v>2611</v>
      </c>
      <c r="T158" s="126">
        <f t="shared" si="24"/>
        <v>13018.032258064517</v>
      </c>
    </row>
    <row r="159" spans="1:20" s="6" customFormat="1" ht="54.75" customHeight="1" x14ac:dyDescent="0.5">
      <c r="A159" s="120">
        <v>157</v>
      </c>
      <c r="B159" s="121">
        <v>4035</v>
      </c>
      <c r="C159" s="122" t="s">
        <v>357</v>
      </c>
      <c r="D159" s="122" t="s">
        <v>358</v>
      </c>
      <c r="E159" s="122" t="s">
        <v>74</v>
      </c>
      <c r="F159" s="123">
        <v>11800</v>
      </c>
      <c r="G159" s="124">
        <v>31</v>
      </c>
      <c r="H159" s="125">
        <v>204</v>
      </c>
      <c r="I159" s="126">
        <f t="shared" si="20"/>
        <v>11800</v>
      </c>
      <c r="J159" s="126">
        <f t="shared" si="21"/>
        <v>9706.4516129032254</v>
      </c>
      <c r="K159" s="126">
        <f t="shared" si="25"/>
        <v>21506.451612903227</v>
      </c>
      <c r="L159" s="127">
        <v>5</v>
      </c>
      <c r="M159" s="127">
        <v>0</v>
      </c>
      <c r="N159" s="127">
        <v>2500</v>
      </c>
      <c r="O159" s="127">
        <v>0</v>
      </c>
      <c r="P159" s="127">
        <v>114</v>
      </c>
      <c r="Q159" s="129"/>
      <c r="R159" s="126">
        <f t="shared" si="22"/>
        <v>21506.451612903227</v>
      </c>
      <c r="S159" s="126">
        <f t="shared" si="23"/>
        <v>2619</v>
      </c>
      <c r="T159" s="126">
        <f t="shared" si="24"/>
        <v>18887.451612903227</v>
      </c>
    </row>
    <row r="160" spans="1:20" s="6" customFormat="1" ht="54.75" customHeight="1" x14ac:dyDescent="0.5">
      <c r="A160" s="120">
        <v>158</v>
      </c>
      <c r="B160" s="121">
        <v>4046</v>
      </c>
      <c r="C160" s="122" t="s">
        <v>378</v>
      </c>
      <c r="D160" s="122" t="s">
        <v>379</v>
      </c>
      <c r="E160" s="122" t="s">
        <v>74</v>
      </c>
      <c r="F160" s="123">
        <v>11000</v>
      </c>
      <c r="G160" s="124">
        <v>6</v>
      </c>
      <c r="H160" s="125">
        <v>20</v>
      </c>
      <c r="I160" s="126">
        <f t="shared" si="20"/>
        <v>2129.0322580645161</v>
      </c>
      <c r="J160" s="126">
        <f t="shared" si="21"/>
        <v>887.0967741935483</v>
      </c>
      <c r="K160" s="126">
        <f t="shared" si="25"/>
        <v>3016.1290322580644</v>
      </c>
      <c r="L160" s="127">
        <v>5</v>
      </c>
      <c r="M160" s="127">
        <v>0</v>
      </c>
      <c r="N160" s="127">
        <v>0</v>
      </c>
      <c r="O160" s="127">
        <v>0</v>
      </c>
      <c r="P160" s="127">
        <v>37</v>
      </c>
      <c r="Q160" s="129"/>
      <c r="R160" s="126">
        <f t="shared" ref="R160:R182" si="26">K160</f>
        <v>3016.1290322580644</v>
      </c>
      <c r="S160" s="126">
        <f t="shared" ref="S160:S182" si="27">L160+M160+N160+O160+P160+Q160</f>
        <v>42</v>
      </c>
      <c r="T160" s="126">
        <f t="shared" ref="T160:T182" si="28">R160-S160</f>
        <v>2974.1290322580644</v>
      </c>
    </row>
    <row r="161" spans="1:20" s="6" customFormat="1" ht="54.75" customHeight="1" x14ac:dyDescent="0.5">
      <c r="A161" s="120">
        <v>159</v>
      </c>
      <c r="B161" s="121">
        <v>4061</v>
      </c>
      <c r="C161" s="122" t="s">
        <v>407</v>
      </c>
      <c r="D161" s="122" t="s">
        <v>408</v>
      </c>
      <c r="E161" s="122" t="s">
        <v>74</v>
      </c>
      <c r="F161" s="123">
        <v>12000</v>
      </c>
      <c r="G161" s="124">
        <v>3</v>
      </c>
      <c r="H161" s="125">
        <v>283</v>
      </c>
      <c r="I161" s="126">
        <f t="shared" si="20"/>
        <v>1161.2903225806454</v>
      </c>
      <c r="J161" s="126">
        <f t="shared" si="21"/>
        <v>13693.548387096775</v>
      </c>
      <c r="K161" s="126">
        <f t="shared" si="25"/>
        <v>14854.83870967742</v>
      </c>
      <c r="L161" s="127">
        <v>5</v>
      </c>
      <c r="M161" s="127">
        <v>0</v>
      </c>
      <c r="N161" s="127">
        <v>500</v>
      </c>
      <c r="O161" s="127">
        <v>0</v>
      </c>
      <c r="P161" s="127">
        <v>11</v>
      </c>
      <c r="Q161" s="129"/>
      <c r="R161" s="126">
        <f t="shared" si="26"/>
        <v>14854.83870967742</v>
      </c>
      <c r="S161" s="126">
        <f t="shared" si="27"/>
        <v>516</v>
      </c>
      <c r="T161" s="126">
        <f t="shared" si="28"/>
        <v>14338.83870967742</v>
      </c>
    </row>
    <row r="162" spans="1:20" s="6" customFormat="1" ht="54.75" customHeight="1" x14ac:dyDescent="0.5">
      <c r="A162" s="120">
        <v>160</v>
      </c>
      <c r="B162" s="121">
        <v>4067</v>
      </c>
      <c r="C162" s="122" t="s">
        <v>417</v>
      </c>
      <c r="D162" s="122" t="s">
        <v>418</v>
      </c>
      <c r="E162" s="122" t="s">
        <v>74</v>
      </c>
      <c r="F162" s="123">
        <v>12700</v>
      </c>
      <c r="G162" s="124">
        <v>11</v>
      </c>
      <c r="H162" s="125">
        <v>337</v>
      </c>
      <c r="I162" s="126">
        <f t="shared" si="20"/>
        <v>4506.4516129032263</v>
      </c>
      <c r="J162" s="126">
        <f t="shared" si="21"/>
        <v>17257.66129032258</v>
      </c>
      <c r="K162" s="126">
        <f t="shared" si="25"/>
        <v>21764.112903225807</v>
      </c>
      <c r="L162" s="127">
        <v>5</v>
      </c>
      <c r="M162" s="127">
        <v>0</v>
      </c>
      <c r="N162" s="127">
        <v>0</v>
      </c>
      <c r="O162" s="127">
        <v>0</v>
      </c>
      <c r="P162" s="127">
        <v>41</v>
      </c>
      <c r="Q162" s="129"/>
      <c r="R162" s="126">
        <f t="shared" si="26"/>
        <v>21764.112903225807</v>
      </c>
      <c r="S162" s="126">
        <f t="shared" si="27"/>
        <v>46</v>
      </c>
      <c r="T162" s="126">
        <f t="shared" si="28"/>
        <v>21718.112903225807</v>
      </c>
    </row>
    <row r="163" spans="1:20" s="6" customFormat="1" ht="54.75" customHeight="1" x14ac:dyDescent="0.5">
      <c r="A163" s="120">
        <v>161</v>
      </c>
      <c r="B163" s="121">
        <v>3262</v>
      </c>
      <c r="C163" s="122" t="s">
        <v>119</v>
      </c>
      <c r="D163" s="122" t="s">
        <v>120</v>
      </c>
      <c r="E163" s="122" t="s">
        <v>121</v>
      </c>
      <c r="F163" s="123">
        <v>12000</v>
      </c>
      <c r="G163" s="124">
        <v>21</v>
      </c>
      <c r="H163" s="125">
        <v>77.5</v>
      </c>
      <c r="I163" s="126">
        <f t="shared" si="20"/>
        <v>8129.032258064517</v>
      </c>
      <c r="J163" s="126">
        <f t="shared" si="21"/>
        <v>3750.0000000000005</v>
      </c>
      <c r="K163" s="126">
        <f t="shared" si="25"/>
        <v>11879.032258064517</v>
      </c>
      <c r="L163" s="127">
        <v>5</v>
      </c>
      <c r="M163" s="127">
        <v>0</v>
      </c>
      <c r="N163" s="127">
        <v>0</v>
      </c>
      <c r="O163" s="127">
        <v>0</v>
      </c>
      <c r="P163" s="127">
        <v>84</v>
      </c>
      <c r="Q163" s="129"/>
      <c r="R163" s="126">
        <f t="shared" si="26"/>
        <v>11879.032258064517</v>
      </c>
      <c r="S163" s="126">
        <f t="shared" si="27"/>
        <v>89</v>
      </c>
      <c r="T163" s="126">
        <f t="shared" si="28"/>
        <v>11790.032258064517</v>
      </c>
    </row>
    <row r="164" spans="1:20" s="6" customFormat="1" ht="54.75" customHeight="1" x14ac:dyDescent="0.5">
      <c r="A164" s="120">
        <v>162</v>
      </c>
      <c r="B164" s="121">
        <v>3299</v>
      </c>
      <c r="C164" s="122" t="s">
        <v>122</v>
      </c>
      <c r="D164" s="122" t="s">
        <v>123</v>
      </c>
      <c r="E164" s="122" t="s">
        <v>121</v>
      </c>
      <c r="F164" s="123">
        <v>14500</v>
      </c>
      <c r="G164" s="124">
        <v>31</v>
      </c>
      <c r="H164" s="125">
        <v>168</v>
      </c>
      <c r="I164" s="126">
        <f t="shared" si="20"/>
        <v>14500</v>
      </c>
      <c r="J164" s="126">
        <f t="shared" si="21"/>
        <v>9822.5806451612898</v>
      </c>
      <c r="K164" s="126">
        <f t="shared" si="25"/>
        <v>24322.580645161288</v>
      </c>
      <c r="L164" s="127">
        <v>5</v>
      </c>
      <c r="M164" s="127">
        <v>0</v>
      </c>
      <c r="N164" s="127">
        <v>4000</v>
      </c>
      <c r="O164" s="127">
        <v>0</v>
      </c>
      <c r="P164" s="127">
        <v>121</v>
      </c>
      <c r="Q164" s="129"/>
      <c r="R164" s="126">
        <f t="shared" si="26"/>
        <v>24322.580645161288</v>
      </c>
      <c r="S164" s="126">
        <f t="shared" si="27"/>
        <v>4126</v>
      </c>
      <c r="T164" s="126">
        <f t="shared" si="28"/>
        <v>20196.580645161288</v>
      </c>
    </row>
    <row r="165" spans="1:20" s="6" customFormat="1" ht="54.75" customHeight="1" x14ac:dyDescent="0.5">
      <c r="A165" s="120">
        <v>163</v>
      </c>
      <c r="B165" s="121">
        <v>3425</v>
      </c>
      <c r="C165" s="122" t="s">
        <v>146</v>
      </c>
      <c r="D165" s="122" t="s">
        <v>147</v>
      </c>
      <c r="E165" s="122" t="s">
        <v>121</v>
      </c>
      <c r="F165" s="123">
        <v>10000</v>
      </c>
      <c r="G165" s="124">
        <v>18</v>
      </c>
      <c r="H165" s="125">
        <v>57</v>
      </c>
      <c r="I165" s="126">
        <f t="shared" si="20"/>
        <v>5806.4516129032254</v>
      </c>
      <c r="J165" s="126">
        <f t="shared" si="21"/>
        <v>2298.3870967741937</v>
      </c>
      <c r="K165" s="126">
        <f t="shared" si="25"/>
        <v>8104.8387096774186</v>
      </c>
      <c r="L165" s="127">
        <v>5</v>
      </c>
      <c r="M165" s="127">
        <v>0</v>
      </c>
      <c r="N165" s="127">
        <v>500</v>
      </c>
      <c r="O165" s="127">
        <v>0</v>
      </c>
      <c r="P165" s="127">
        <v>73</v>
      </c>
      <c r="Q165" s="129"/>
      <c r="R165" s="126">
        <f t="shared" si="26"/>
        <v>8104.8387096774186</v>
      </c>
      <c r="S165" s="126">
        <f t="shared" si="27"/>
        <v>578</v>
      </c>
      <c r="T165" s="126">
        <f t="shared" si="28"/>
        <v>7526.8387096774186</v>
      </c>
    </row>
    <row r="166" spans="1:20" s="6" customFormat="1" ht="54.75" customHeight="1" x14ac:dyDescent="0.5">
      <c r="A166" s="120">
        <v>164</v>
      </c>
      <c r="B166" s="121">
        <v>3638</v>
      </c>
      <c r="C166" s="122" t="s">
        <v>170</v>
      </c>
      <c r="D166" s="122" t="s">
        <v>171</v>
      </c>
      <c r="E166" s="122" t="s">
        <v>121</v>
      </c>
      <c r="F166" s="123">
        <v>10500</v>
      </c>
      <c r="G166" s="124">
        <v>21</v>
      </c>
      <c r="H166" s="125">
        <v>71.5</v>
      </c>
      <c r="I166" s="126">
        <f t="shared" si="20"/>
        <v>7112.9032258064508</v>
      </c>
      <c r="J166" s="126">
        <f t="shared" si="21"/>
        <v>3027.2177419354839</v>
      </c>
      <c r="K166" s="126">
        <f t="shared" si="25"/>
        <v>10140.120967741936</v>
      </c>
      <c r="L166" s="127">
        <v>5</v>
      </c>
      <c r="M166" s="127">
        <v>0</v>
      </c>
      <c r="N166" s="127">
        <v>0</v>
      </c>
      <c r="O166" s="127">
        <v>0</v>
      </c>
      <c r="P166" s="127">
        <v>81</v>
      </c>
      <c r="Q166" s="129"/>
      <c r="R166" s="126">
        <f t="shared" si="26"/>
        <v>10140.120967741936</v>
      </c>
      <c r="S166" s="126">
        <f t="shared" si="27"/>
        <v>86</v>
      </c>
      <c r="T166" s="126">
        <f t="shared" si="28"/>
        <v>10054.120967741936</v>
      </c>
    </row>
    <row r="167" spans="1:20" s="6" customFormat="1" ht="54.75" customHeight="1" x14ac:dyDescent="0.5">
      <c r="A167" s="120">
        <v>165</v>
      </c>
      <c r="B167" s="121">
        <v>3761</v>
      </c>
      <c r="C167" s="122" t="s">
        <v>209</v>
      </c>
      <c r="D167" s="122" t="s">
        <v>210</v>
      </c>
      <c r="E167" s="122" t="s">
        <v>121</v>
      </c>
      <c r="F167" s="123">
        <v>13000</v>
      </c>
      <c r="G167" s="124">
        <v>25</v>
      </c>
      <c r="H167" s="125">
        <v>123.5</v>
      </c>
      <c r="I167" s="126">
        <f t="shared" si="20"/>
        <v>10483.870967741936</v>
      </c>
      <c r="J167" s="126">
        <f t="shared" si="21"/>
        <v>6473.7903225806458</v>
      </c>
      <c r="K167" s="126">
        <f t="shared" si="25"/>
        <v>16957.661290322583</v>
      </c>
      <c r="L167" s="127">
        <v>5</v>
      </c>
      <c r="M167" s="127">
        <v>0</v>
      </c>
      <c r="N167" s="127">
        <v>3000</v>
      </c>
      <c r="O167" s="127">
        <v>0</v>
      </c>
      <c r="P167" s="127">
        <v>101</v>
      </c>
      <c r="Q167" s="129"/>
      <c r="R167" s="126">
        <f t="shared" si="26"/>
        <v>16957.661290322583</v>
      </c>
      <c r="S167" s="126">
        <f t="shared" si="27"/>
        <v>3106</v>
      </c>
      <c r="T167" s="126">
        <f t="shared" si="28"/>
        <v>13851.661290322583</v>
      </c>
    </row>
    <row r="168" spans="1:20" s="6" customFormat="1" ht="54.75" customHeight="1" x14ac:dyDescent="0.5">
      <c r="A168" s="120">
        <v>166</v>
      </c>
      <c r="B168" s="121">
        <v>4006</v>
      </c>
      <c r="C168" s="122" t="s">
        <v>317</v>
      </c>
      <c r="D168" s="122" t="s">
        <v>318</v>
      </c>
      <c r="E168" s="122" t="s">
        <v>121</v>
      </c>
      <c r="F168" s="123">
        <v>12000</v>
      </c>
      <c r="G168" s="124">
        <v>30</v>
      </c>
      <c r="H168" s="125">
        <v>144</v>
      </c>
      <c r="I168" s="126">
        <f t="shared" si="20"/>
        <v>11612.903225806453</v>
      </c>
      <c r="J168" s="126">
        <f t="shared" si="21"/>
        <v>6967.7419354838712</v>
      </c>
      <c r="K168" s="126">
        <f t="shared" si="25"/>
        <v>18580.645161290326</v>
      </c>
      <c r="L168" s="127">
        <v>5</v>
      </c>
      <c r="M168" s="127">
        <v>0</v>
      </c>
      <c r="N168" s="127">
        <v>3000</v>
      </c>
      <c r="O168" s="127">
        <v>0</v>
      </c>
      <c r="P168" s="127">
        <v>110</v>
      </c>
      <c r="Q168" s="129"/>
      <c r="R168" s="126">
        <f t="shared" si="26"/>
        <v>18580.645161290326</v>
      </c>
      <c r="S168" s="126">
        <f t="shared" si="27"/>
        <v>3115</v>
      </c>
      <c r="T168" s="126">
        <f t="shared" si="28"/>
        <v>15465.645161290326</v>
      </c>
    </row>
    <row r="169" spans="1:20" s="6" customFormat="1" ht="54.75" customHeight="1" x14ac:dyDescent="0.5">
      <c r="A169" s="120">
        <v>167</v>
      </c>
      <c r="B169" s="121">
        <v>1648</v>
      </c>
      <c r="C169" s="122" t="s">
        <v>54</v>
      </c>
      <c r="D169" s="122" t="s">
        <v>55</v>
      </c>
      <c r="E169" s="122" t="s">
        <v>56</v>
      </c>
      <c r="F169" s="123">
        <v>20000</v>
      </c>
      <c r="G169" s="124">
        <v>31</v>
      </c>
      <c r="H169" s="125">
        <v>182.5</v>
      </c>
      <c r="I169" s="126">
        <f t="shared" si="20"/>
        <v>20000</v>
      </c>
      <c r="J169" s="126">
        <f t="shared" si="21"/>
        <v>14717.741935483869</v>
      </c>
      <c r="K169" s="126">
        <f t="shared" si="25"/>
        <v>34717.741935483871</v>
      </c>
      <c r="L169" s="127">
        <v>5</v>
      </c>
      <c r="M169" s="127">
        <v>0</v>
      </c>
      <c r="N169" s="127">
        <v>0</v>
      </c>
      <c r="O169" s="127">
        <v>1800</v>
      </c>
      <c r="P169" s="127">
        <v>133</v>
      </c>
      <c r="Q169" s="129"/>
      <c r="R169" s="126">
        <f t="shared" si="26"/>
        <v>34717.741935483871</v>
      </c>
      <c r="S169" s="126">
        <f t="shared" si="27"/>
        <v>1938</v>
      </c>
      <c r="T169" s="126">
        <f t="shared" si="28"/>
        <v>32779.741935483871</v>
      </c>
    </row>
    <row r="170" spans="1:20" s="6" customFormat="1" ht="54.75" customHeight="1" x14ac:dyDescent="0.5">
      <c r="A170" s="120">
        <v>168</v>
      </c>
      <c r="B170" s="121">
        <v>2874</v>
      </c>
      <c r="C170" s="122" t="s">
        <v>103</v>
      </c>
      <c r="D170" s="122" t="s">
        <v>104</v>
      </c>
      <c r="E170" s="122" t="s">
        <v>56</v>
      </c>
      <c r="F170" s="123">
        <v>14500</v>
      </c>
      <c r="G170" s="124">
        <v>12</v>
      </c>
      <c r="H170" s="125">
        <v>16</v>
      </c>
      <c r="I170" s="126">
        <f t="shared" si="20"/>
        <v>5612.9032258064517</v>
      </c>
      <c r="J170" s="126">
        <f t="shared" si="21"/>
        <v>935.48387096774195</v>
      </c>
      <c r="K170" s="126">
        <f t="shared" si="25"/>
        <v>6548.3870967741932</v>
      </c>
      <c r="L170" s="127">
        <v>5</v>
      </c>
      <c r="M170" s="127">
        <v>0</v>
      </c>
      <c r="N170" s="127">
        <v>0</v>
      </c>
      <c r="O170" s="127">
        <v>0</v>
      </c>
      <c r="P170" s="127">
        <v>55</v>
      </c>
      <c r="Q170" s="129"/>
      <c r="R170" s="126">
        <f t="shared" si="26"/>
        <v>6548.3870967741932</v>
      </c>
      <c r="S170" s="126">
        <f t="shared" si="27"/>
        <v>60</v>
      </c>
      <c r="T170" s="126">
        <f t="shared" si="28"/>
        <v>6488.3870967741932</v>
      </c>
    </row>
    <row r="171" spans="1:20" s="6" customFormat="1" ht="54.75" customHeight="1" x14ac:dyDescent="0.5">
      <c r="A171" s="120">
        <v>169</v>
      </c>
      <c r="B171" s="121">
        <v>2968</v>
      </c>
      <c r="C171" s="122" t="s">
        <v>113</v>
      </c>
      <c r="D171" s="122" t="s">
        <v>114</v>
      </c>
      <c r="E171" s="122" t="s">
        <v>56</v>
      </c>
      <c r="F171" s="123">
        <v>15600</v>
      </c>
      <c r="G171" s="124">
        <v>31</v>
      </c>
      <c r="H171" s="125">
        <v>40</v>
      </c>
      <c r="I171" s="126">
        <f t="shared" si="20"/>
        <v>15600</v>
      </c>
      <c r="J171" s="126">
        <f t="shared" si="21"/>
        <v>2516.1290322580644</v>
      </c>
      <c r="K171" s="126">
        <f t="shared" si="25"/>
        <v>18116.129032258064</v>
      </c>
      <c r="L171" s="127">
        <v>5</v>
      </c>
      <c r="M171" s="127">
        <v>0</v>
      </c>
      <c r="N171" s="127">
        <v>0</v>
      </c>
      <c r="O171" s="127">
        <v>0</v>
      </c>
      <c r="P171" s="127">
        <v>114</v>
      </c>
      <c r="Q171" s="139"/>
      <c r="R171" s="126">
        <f t="shared" si="26"/>
        <v>18116.129032258064</v>
      </c>
      <c r="S171" s="126">
        <f t="shared" si="27"/>
        <v>119</v>
      </c>
      <c r="T171" s="126">
        <f t="shared" si="28"/>
        <v>17997.129032258064</v>
      </c>
    </row>
    <row r="172" spans="1:20" s="6" customFormat="1" ht="54.75" customHeight="1" x14ac:dyDescent="0.5">
      <c r="A172" s="120">
        <v>170</v>
      </c>
      <c r="B172" s="121">
        <v>3357</v>
      </c>
      <c r="C172" s="122" t="s">
        <v>133</v>
      </c>
      <c r="D172" s="122" t="s">
        <v>134</v>
      </c>
      <c r="E172" s="122" t="s">
        <v>56</v>
      </c>
      <c r="F172" s="123">
        <v>15600</v>
      </c>
      <c r="G172" s="124">
        <v>31</v>
      </c>
      <c r="H172" s="125">
        <v>40</v>
      </c>
      <c r="I172" s="126">
        <f t="shared" si="20"/>
        <v>15600</v>
      </c>
      <c r="J172" s="126">
        <f t="shared" si="21"/>
        <v>2516.1290322580644</v>
      </c>
      <c r="K172" s="126">
        <f t="shared" ref="K172:K182" si="29">I172+J172</f>
        <v>18116.129032258064</v>
      </c>
      <c r="L172" s="127">
        <v>5</v>
      </c>
      <c r="M172" s="127">
        <v>0</v>
      </c>
      <c r="N172" s="127">
        <v>3000</v>
      </c>
      <c r="O172" s="127">
        <v>0</v>
      </c>
      <c r="P172" s="127">
        <v>114</v>
      </c>
      <c r="Q172" s="129"/>
      <c r="R172" s="126">
        <f t="shared" si="26"/>
        <v>18116.129032258064</v>
      </c>
      <c r="S172" s="126">
        <f t="shared" si="27"/>
        <v>3119</v>
      </c>
      <c r="T172" s="126">
        <f t="shared" si="28"/>
        <v>14997.129032258064</v>
      </c>
    </row>
    <row r="173" spans="1:20" s="6" customFormat="1" ht="54.75" customHeight="1" x14ac:dyDescent="0.5">
      <c r="A173" s="120">
        <v>171</v>
      </c>
      <c r="B173" s="121">
        <v>3642</v>
      </c>
      <c r="C173" s="122" t="s">
        <v>174</v>
      </c>
      <c r="D173" s="122" t="s">
        <v>175</v>
      </c>
      <c r="E173" s="122" t="s">
        <v>56</v>
      </c>
      <c r="F173" s="123">
        <v>17500</v>
      </c>
      <c r="G173" s="124">
        <v>31</v>
      </c>
      <c r="H173" s="125">
        <v>88</v>
      </c>
      <c r="I173" s="126">
        <f t="shared" si="20"/>
        <v>17500</v>
      </c>
      <c r="J173" s="126">
        <f t="shared" si="21"/>
        <v>6209.677419354839</v>
      </c>
      <c r="K173" s="126">
        <f t="shared" si="29"/>
        <v>23709.677419354841</v>
      </c>
      <c r="L173" s="127">
        <v>5</v>
      </c>
      <c r="M173" s="127">
        <v>0</v>
      </c>
      <c r="N173" s="127">
        <v>0</v>
      </c>
      <c r="O173" s="127">
        <v>0</v>
      </c>
      <c r="P173" s="127">
        <v>114</v>
      </c>
      <c r="Q173" s="129"/>
      <c r="R173" s="126">
        <f t="shared" si="26"/>
        <v>23709.677419354841</v>
      </c>
      <c r="S173" s="126">
        <f t="shared" si="27"/>
        <v>119</v>
      </c>
      <c r="T173" s="126">
        <f t="shared" si="28"/>
        <v>23590.677419354841</v>
      </c>
    </row>
    <row r="174" spans="1:20" s="6" customFormat="1" ht="54.75" customHeight="1" x14ac:dyDescent="0.5">
      <c r="A174" s="120">
        <v>172</v>
      </c>
      <c r="B174" s="121">
        <v>3648</v>
      </c>
      <c r="C174" s="122" t="s">
        <v>178</v>
      </c>
      <c r="D174" s="122" t="s">
        <v>179</v>
      </c>
      <c r="E174" s="122" t="s">
        <v>56</v>
      </c>
      <c r="F174" s="123">
        <v>15300</v>
      </c>
      <c r="G174" s="124">
        <v>30</v>
      </c>
      <c r="H174" s="125">
        <v>32</v>
      </c>
      <c r="I174" s="126">
        <f t="shared" si="20"/>
        <v>14806.451612903225</v>
      </c>
      <c r="J174" s="126">
        <f t="shared" si="21"/>
        <v>1974.1935483870968</v>
      </c>
      <c r="K174" s="126">
        <f t="shared" si="29"/>
        <v>16780.645161290322</v>
      </c>
      <c r="L174" s="127">
        <v>5</v>
      </c>
      <c r="M174" s="127">
        <v>0</v>
      </c>
      <c r="N174" s="127">
        <v>3000</v>
      </c>
      <c r="O174" s="127">
        <v>0</v>
      </c>
      <c r="P174" s="127">
        <v>110</v>
      </c>
      <c r="Q174" s="129"/>
      <c r="R174" s="126">
        <f t="shared" si="26"/>
        <v>16780.645161290322</v>
      </c>
      <c r="S174" s="126">
        <f t="shared" si="27"/>
        <v>3115</v>
      </c>
      <c r="T174" s="126">
        <f t="shared" si="28"/>
        <v>13665.645161290322</v>
      </c>
    </row>
    <row r="175" spans="1:20" s="6" customFormat="1" ht="54.75" customHeight="1" x14ac:dyDescent="0.5">
      <c r="A175" s="120">
        <v>173</v>
      </c>
      <c r="B175" s="121">
        <v>3730</v>
      </c>
      <c r="C175" s="122" t="s">
        <v>203</v>
      </c>
      <c r="D175" s="122" t="s">
        <v>204</v>
      </c>
      <c r="E175" s="122" t="s">
        <v>56</v>
      </c>
      <c r="F175" s="123">
        <v>15000</v>
      </c>
      <c r="G175" s="124">
        <v>18</v>
      </c>
      <c r="H175" s="125">
        <v>24</v>
      </c>
      <c r="I175" s="126">
        <f t="shared" si="20"/>
        <v>8709.677419354839</v>
      </c>
      <c r="J175" s="126">
        <f t="shared" si="21"/>
        <v>1451.6129032258063</v>
      </c>
      <c r="K175" s="126">
        <f t="shared" si="29"/>
        <v>10161.290322580646</v>
      </c>
      <c r="L175" s="127">
        <v>5</v>
      </c>
      <c r="M175" s="127">
        <v>0</v>
      </c>
      <c r="N175" s="127">
        <v>2000</v>
      </c>
      <c r="O175" s="127">
        <v>0</v>
      </c>
      <c r="P175" s="127">
        <v>73</v>
      </c>
      <c r="Q175" s="129"/>
      <c r="R175" s="126">
        <f t="shared" si="26"/>
        <v>10161.290322580646</v>
      </c>
      <c r="S175" s="126">
        <f t="shared" si="27"/>
        <v>2078</v>
      </c>
      <c r="T175" s="126">
        <f t="shared" si="28"/>
        <v>8083.2903225806458</v>
      </c>
    </row>
    <row r="176" spans="1:20" s="6" customFormat="1" ht="54.75" customHeight="1" x14ac:dyDescent="0.5">
      <c r="A176" s="120">
        <v>174</v>
      </c>
      <c r="B176" s="121">
        <v>3812</v>
      </c>
      <c r="C176" s="122" t="s">
        <v>223</v>
      </c>
      <c r="D176" s="122" t="s">
        <v>188</v>
      </c>
      <c r="E176" s="122" t="s">
        <v>56</v>
      </c>
      <c r="F176" s="123">
        <v>15000</v>
      </c>
      <c r="G176" s="124">
        <v>30</v>
      </c>
      <c r="H176" s="125">
        <v>32</v>
      </c>
      <c r="I176" s="126">
        <f t="shared" si="20"/>
        <v>14516.129032258064</v>
      </c>
      <c r="J176" s="126">
        <f t="shared" si="21"/>
        <v>1935.483870967742</v>
      </c>
      <c r="K176" s="126">
        <f t="shared" si="29"/>
        <v>16451.612903225807</v>
      </c>
      <c r="L176" s="127">
        <v>5</v>
      </c>
      <c r="M176" s="127">
        <v>0</v>
      </c>
      <c r="N176" s="127">
        <v>3000</v>
      </c>
      <c r="O176" s="127">
        <v>0</v>
      </c>
      <c r="P176" s="127">
        <v>110</v>
      </c>
      <c r="Q176" s="129"/>
      <c r="R176" s="126">
        <f t="shared" si="26"/>
        <v>16451.612903225807</v>
      </c>
      <c r="S176" s="126">
        <f t="shared" si="27"/>
        <v>3115</v>
      </c>
      <c r="T176" s="126">
        <f t="shared" si="28"/>
        <v>13336.612903225807</v>
      </c>
    </row>
    <row r="177" spans="1:20" s="6" customFormat="1" ht="54.75" customHeight="1" x14ac:dyDescent="0.5">
      <c r="A177" s="120">
        <v>175</v>
      </c>
      <c r="B177" s="121">
        <v>3922</v>
      </c>
      <c r="C177" s="122" t="s">
        <v>256</v>
      </c>
      <c r="D177" s="122" t="s">
        <v>257</v>
      </c>
      <c r="E177" s="122" t="s">
        <v>56</v>
      </c>
      <c r="F177" s="123">
        <v>15000</v>
      </c>
      <c r="G177" s="124">
        <v>31</v>
      </c>
      <c r="H177" s="125">
        <v>40</v>
      </c>
      <c r="I177" s="126">
        <f t="shared" si="20"/>
        <v>15000</v>
      </c>
      <c r="J177" s="126">
        <f t="shared" si="21"/>
        <v>2419.3548387096776</v>
      </c>
      <c r="K177" s="126">
        <f t="shared" si="29"/>
        <v>17419.354838709678</v>
      </c>
      <c r="L177" s="127">
        <v>5</v>
      </c>
      <c r="M177" s="127">
        <v>0</v>
      </c>
      <c r="N177" s="127">
        <v>2000</v>
      </c>
      <c r="O177" s="127">
        <v>0</v>
      </c>
      <c r="P177" s="127">
        <v>114</v>
      </c>
      <c r="Q177" s="129"/>
      <c r="R177" s="126">
        <f t="shared" si="26"/>
        <v>17419.354838709678</v>
      </c>
      <c r="S177" s="126">
        <f t="shared" si="27"/>
        <v>2119</v>
      </c>
      <c r="T177" s="126">
        <f t="shared" si="28"/>
        <v>15300.354838709678</v>
      </c>
    </row>
    <row r="178" spans="1:20" s="6" customFormat="1" ht="54.75" customHeight="1" x14ac:dyDescent="0.5">
      <c r="A178" s="120">
        <v>176</v>
      </c>
      <c r="B178" s="121">
        <v>3994</v>
      </c>
      <c r="C178" s="122" t="s">
        <v>309</v>
      </c>
      <c r="D178" s="122" t="s">
        <v>310</v>
      </c>
      <c r="E178" s="122" t="s">
        <v>56</v>
      </c>
      <c r="F178" s="123">
        <v>15000</v>
      </c>
      <c r="G178" s="124">
        <v>31</v>
      </c>
      <c r="H178" s="125">
        <v>32</v>
      </c>
      <c r="I178" s="126">
        <f t="shared" si="20"/>
        <v>15000</v>
      </c>
      <c r="J178" s="126">
        <f t="shared" si="21"/>
        <v>1935.483870967742</v>
      </c>
      <c r="K178" s="126">
        <f t="shared" si="29"/>
        <v>16935.483870967742</v>
      </c>
      <c r="L178" s="127">
        <v>5</v>
      </c>
      <c r="M178" s="127">
        <v>0</v>
      </c>
      <c r="N178" s="127">
        <v>0</v>
      </c>
      <c r="O178" s="127">
        <v>0</v>
      </c>
      <c r="P178" s="127">
        <v>114</v>
      </c>
      <c r="Q178" s="129"/>
      <c r="R178" s="126">
        <f t="shared" si="26"/>
        <v>16935.483870967742</v>
      </c>
      <c r="S178" s="126">
        <f t="shared" si="27"/>
        <v>119</v>
      </c>
      <c r="T178" s="126">
        <f t="shared" si="28"/>
        <v>16816.483870967742</v>
      </c>
    </row>
    <row r="179" spans="1:20" s="6" customFormat="1" ht="54.75" customHeight="1" x14ac:dyDescent="0.5">
      <c r="A179" s="120">
        <v>177</v>
      </c>
      <c r="B179" s="121">
        <v>4023</v>
      </c>
      <c r="C179" s="122" t="s">
        <v>341</v>
      </c>
      <c r="D179" s="122" t="s">
        <v>204</v>
      </c>
      <c r="E179" s="122" t="s">
        <v>56</v>
      </c>
      <c r="F179" s="123">
        <v>14500</v>
      </c>
      <c r="G179" s="124">
        <v>5</v>
      </c>
      <c r="H179" s="125">
        <v>8</v>
      </c>
      <c r="I179" s="126">
        <f t="shared" si="20"/>
        <v>2338.7096774193551</v>
      </c>
      <c r="J179" s="126">
        <f t="shared" si="21"/>
        <v>467.74193548387098</v>
      </c>
      <c r="K179" s="126">
        <f t="shared" si="29"/>
        <v>2806.4516129032263</v>
      </c>
      <c r="L179" s="127">
        <v>5</v>
      </c>
      <c r="M179" s="127">
        <v>0</v>
      </c>
      <c r="N179" s="127">
        <v>0</v>
      </c>
      <c r="O179" s="127">
        <v>0</v>
      </c>
      <c r="P179" s="127">
        <v>33</v>
      </c>
      <c r="Q179" s="129"/>
      <c r="R179" s="126">
        <f t="shared" si="26"/>
        <v>2806.4516129032263</v>
      </c>
      <c r="S179" s="126">
        <f t="shared" si="27"/>
        <v>38</v>
      </c>
      <c r="T179" s="126">
        <f t="shared" si="28"/>
        <v>2768.4516129032263</v>
      </c>
    </row>
    <row r="180" spans="1:20" s="6" customFormat="1" ht="54.75" customHeight="1" x14ac:dyDescent="0.5">
      <c r="A180" s="120">
        <v>178</v>
      </c>
      <c r="B180" s="121">
        <v>3377</v>
      </c>
      <c r="C180" s="122" t="s">
        <v>141</v>
      </c>
      <c r="D180" s="122" t="s">
        <v>142</v>
      </c>
      <c r="E180" s="122" t="s">
        <v>143</v>
      </c>
      <c r="F180" s="123">
        <v>19950</v>
      </c>
      <c r="G180" s="124">
        <v>31</v>
      </c>
      <c r="H180" s="125"/>
      <c r="I180" s="126">
        <f t="shared" si="20"/>
        <v>19950</v>
      </c>
      <c r="J180" s="126">
        <f t="shared" si="21"/>
        <v>0</v>
      </c>
      <c r="K180" s="126">
        <f t="shared" si="29"/>
        <v>19950</v>
      </c>
      <c r="L180" s="127">
        <v>5</v>
      </c>
      <c r="M180" s="127">
        <v>0</v>
      </c>
      <c r="N180" s="127">
        <v>0</v>
      </c>
      <c r="O180" s="127">
        <v>0</v>
      </c>
      <c r="P180" s="127">
        <v>116</v>
      </c>
      <c r="Q180" s="129"/>
      <c r="R180" s="126">
        <f t="shared" si="26"/>
        <v>19950</v>
      </c>
      <c r="S180" s="126">
        <f t="shared" si="27"/>
        <v>121</v>
      </c>
      <c r="T180" s="126">
        <f t="shared" si="28"/>
        <v>19829</v>
      </c>
    </row>
    <row r="181" spans="1:20" s="6" customFormat="1" ht="54.75" customHeight="1" x14ac:dyDescent="0.5">
      <c r="A181" s="120">
        <v>179</v>
      </c>
      <c r="B181" s="121">
        <v>3637</v>
      </c>
      <c r="C181" s="122" t="s">
        <v>168</v>
      </c>
      <c r="D181" s="122" t="s">
        <v>169</v>
      </c>
      <c r="E181" s="122" t="s">
        <v>143</v>
      </c>
      <c r="F181" s="123">
        <v>18300</v>
      </c>
      <c r="G181" s="124">
        <v>31</v>
      </c>
      <c r="H181" s="125">
        <v>152</v>
      </c>
      <c r="I181" s="126">
        <f t="shared" si="20"/>
        <v>18300</v>
      </c>
      <c r="J181" s="126">
        <f t="shared" si="21"/>
        <v>11216.129032258066</v>
      </c>
      <c r="K181" s="126">
        <f t="shared" si="29"/>
        <v>29516.129032258068</v>
      </c>
      <c r="L181" s="127">
        <v>5</v>
      </c>
      <c r="M181" s="127">
        <v>0</v>
      </c>
      <c r="N181" s="127">
        <v>3000</v>
      </c>
      <c r="O181" s="127">
        <v>0</v>
      </c>
      <c r="P181" s="127">
        <v>161</v>
      </c>
      <c r="Q181" s="129"/>
      <c r="R181" s="126">
        <f t="shared" si="26"/>
        <v>29516.129032258068</v>
      </c>
      <c r="S181" s="126">
        <f t="shared" si="27"/>
        <v>3166</v>
      </c>
      <c r="T181" s="126">
        <f t="shared" si="28"/>
        <v>26350.129032258068</v>
      </c>
    </row>
    <row r="182" spans="1:20" s="6" customFormat="1" ht="54.75" customHeight="1" x14ac:dyDescent="0.5">
      <c r="A182" s="120">
        <v>180</v>
      </c>
      <c r="B182" s="121">
        <v>3791</v>
      </c>
      <c r="C182" s="122" t="s">
        <v>217</v>
      </c>
      <c r="D182" s="122" t="s">
        <v>218</v>
      </c>
      <c r="E182" s="122" t="s">
        <v>143</v>
      </c>
      <c r="F182" s="123">
        <v>12000</v>
      </c>
      <c r="G182" s="124">
        <v>31</v>
      </c>
      <c r="H182" s="125">
        <v>124.5</v>
      </c>
      <c r="I182" s="126">
        <f t="shared" si="20"/>
        <v>12000</v>
      </c>
      <c r="J182" s="126">
        <f t="shared" si="21"/>
        <v>6024.1935483870975</v>
      </c>
      <c r="K182" s="126">
        <f t="shared" si="29"/>
        <v>18024.193548387098</v>
      </c>
      <c r="L182" s="127">
        <v>5</v>
      </c>
      <c r="M182" s="127">
        <v>0</v>
      </c>
      <c r="N182" s="127">
        <v>3000</v>
      </c>
      <c r="O182" s="127">
        <v>0</v>
      </c>
      <c r="P182" s="127">
        <v>114</v>
      </c>
      <c r="Q182" s="129"/>
      <c r="R182" s="126">
        <f t="shared" si="26"/>
        <v>18024.193548387098</v>
      </c>
      <c r="S182" s="126">
        <f t="shared" si="27"/>
        <v>3119</v>
      </c>
      <c r="T182" s="126">
        <f t="shared" si="28"/>
        <v>14905.193548387098</v>
      </c>
    </row>
    <row r="183" spans="1:20" ht="38.25" customHeight="1" x14ac:dyDescent="0.5">
      <c r="A183" s="140"/>
      <c r="B183" s="141"/>
      <c r="C183" s="142"/>
      <c r="D183" s="142"/>
      <c r="E183" s="142"/>
      <c r="F183" s="143">
        <f t="shared" ref="F183:T183" si="30">SUM(F3:F182)</f>
        <v>3433080</v>
      </c>
      <c r="G183" s="143">
        <f t="shared" si="30"/>
        <v>3978.5</v>
      </c>
      <c r="H183" s="143">
        <f t="shared" si="30"/>
        <v>18632.5</v>
      </c>
      <c r="I183" s="143">
        <f t="shared" si="30"/>
        <v>2799991.2903225832</v>
      </c>
      <c r="J183" s="143">
        <f t="shared" si="30"/>
        <v>1096942.7419354846</v>
      </c>
      <c r="K183" s="143">
        <f t="shared" si="30"/>
        <v>4145197.9838709682</v>
      </c>
      <c r="L183" s="143">
        <f t="shared" si="30"/>
        <v>900</v>
      </c>
      <c r="M183" s="143">
        <f t="shared" si="30"/>
        <v>3800</v>
      </c>
      <c r="N183" s="143">
        <f t="shared" si="30"/>
        <v>288840</v>
      </c>
      <c r="O183" s="143">
        <f t="shared" si="30"/>
        <v>17589</v>
      </c>
      <c r="P183" s="143">
        <f t="shared" si="30"/>
        <v>15171</v>
      </c>
      <c r="Q183" s="143">
        <f t="shared" si="30"/>
        <v>168480</v>
      </c>
      <c r="R183" s="143">
        <f t="shared" si="30"/>
        <v>4145197.9838709682</v>
      </c>
      <c r="S183" s="143">
        <f t="shared" si="30"/>
        <v>494780</v>
      </c>
      <c r="T183" s="143">
        <f t="shared" si="30"/>
        <v>3650417.9838709687</v>
      </c>
    </row>
    <row r="184" spans="1:20" ht="33.75" x14ac:dyDescent="0.5">
      <c r="A184" s="140"/>
      <c r="B184" s="141"/>
      <c r="C184" s="141"/>
      <c r="D184" s="141"/>
      <c r="E184" s="141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</row>
    <row r="185" spans="1:20" ht="33.75" x14ac:dyDescent="0.5">
      <c r="A185" s="140"/>
      <c r="B185" s="141"/>
      <c r="C185" s="141"/>
      <c r="D185" s="141"/>
      <c r="E185" s="141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</row>
    <row r="186" spans="1:20" ht="33.75" x14ac:dyDescent="0.5">
      <c r="A186" s="140"/>
      <c r="B186" s="141"/>
      <c r="C186" s="141"/>
      <c r="D186" s="141"/>
      <c r="E186" s="141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</row>
    <row r="187" spans="1:20" ht="33.75" x14ac:dyDescent="0.5">
      <c r="A187" s="140"/>
      <c r="B187" s="141"/>
      <c r="C187" s="141"/>
      <c r="D187" s="141"/>
      <c r="E187" s="141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</row>
  </sheetData>
  <autoFilter ref="A2:T2"/>
  <sortState ref="A3:T186">
    <sortCondition ref="E2"/>
  </sortState>
  <mergeCells count="1">
    <mergeCell ref="A1:T1"/>
  </mergeCells>
  <printOptions horizontalCentered="1"/>
  <pageMargins left="0" right="0" top="0" bottom="0" header="0" footer="0"/>
  <pageSetup paperSize="9" scale="27" orientation="landscape" r:id="rId1"/>
  <rowBreaks count="1" manualBreakCount="1">
    <brk id="37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1"/>
  <sheetViews>
    <sheetView zoomScale="55" zoomScaleNormal="55" workbookViewId="0">
      <selection activeCell="X8" sqref="X8"/>
    </sheetView>
  </sheetViews>
  <sheetFormatPr defaultRowHeight="19.5" x14ac:dyDescent="0.25"/>
  <cols>
    <col min="1" max="1" width="9" style="42" bestFit="1" customWidth="1"/>
    <col min="2" max="2" width="11.85546875" style="29" bestFit="1" customWidth="1"/>
    <col min="3" max="3" width="37.5703125" style="29" customWidth="1"/>
    <col min="4" max="4" width="39.85546875" style="29" customWidth="1"/>
    <col min="5" max="5" width="31.28515625" style="29" customWidth="1"/>
    <col min="6" max="6" width="20.7109375" style="50" hidden="1" customWidth="1"/>
    <col min="7" max="7" width="10" style="50" hidden="1" customWidth="1"/>
    <col min="8" max="8" width="12.140625" style="50" hidden="1" customWidth="1"/>
    <col min="9" max="9" width="24" style="50" hidden="1" customWidth="1"/>
    <col min="10" max="10" width="19.85546875" style="50" hidden="1" customWidth="1"/>
    <col min="11" max="11" width="16" style="50" hidden="1" customWidth="1"/>
    <col min="12" max="12" width="11" style="50" hidden="1" customWidth="1"/>
    <col min="13" max="13" width="19.85546875" style="50" hidden="1" customWidth="1"/>
    <col min="14" max="14" width="15.140625" style="50" hidden="1" customWidth="1"/>
    <col min="15" max="16" width="11.5703125" style="50" hidden="1" customWidth="1"/>
    <col min="17" max="17" width="13.42578125" style="50" hidden="1" customWidth="1"/>
    <col min="18" max="18" width="22" style="50" hidden="1" customWidth="1"/>
    <col min="19" max="19" width="25.85546875" style="50" hidden="1" customWidth="1"/>
    <col min="20" max="20" width="19.85546875" style="50" bestFit="1" customWidth="1"/>
    <col min="21" max="21" width="19.28515625" style="29" customWidth="1"/>
    <col min="22" max="259" width="9.140625" style="29" customWidth="1"/>
    <col min="260" max="16384" width="9.140625" style="29"/>
  </cols>
  <sheetData>
    <row r="1" spans="1:21" ht="60.2" customHeight="1" x14ac:dyDescent="0.25">
      <c r="A1" s="107" t="s">
        <v>23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76"/>
    </row>
    <row r="2" spans="1:21" ht="60.2" customHeight="1" x14ac:dyDescent="0.25">
      <c r="A2" s="30" t="s">
        <v>22</v>
      </c>
      <c r="B2" s="30" t="s">
        <v>0</v>
      </c>
      <c r="C2" s="30" t="s">
        <v>1</v>
      </c>
      <c r="D2" s="30" t="s">
        <v>12</v>
      </c>
      <c r="E2" s="30" t="s">
        <v>11</v>
      </c>
      <c r="F2" s="31" t="s">
        <v>2</v>
      </c>
      <c r="G2" s="31" t="s">
        <v>14</v>
      </c>
      <c r="H2" s="31" t="s">
        <v>15</v>
      </c>
      <c r="I2" s="31" t="s">
        <v>16</v>
      </c>
      <c r="J2" s="31" t="s">
        <v>17</v>
      </c>
      <c r="K2" s="31" t="s">
        <v>13</v>
      </c>
      <c r="L2" s="31" t="s">
        <v>3</v>
      </c>
      <c r="M2" s="31" t="s">
        <v>19</v>
      </c>
      <c r="N2" s="31" t="s">
        <v>4</v>
      </c>
      <c r="O2" s="31" t="s">
        <v>5</v>
      </c>
      <c r="P2" s="31" t="s">
        <v>6</v>
      </c>
      <c r="Q2" s="31" t="s">
        <v>7</v>
      </c>
      <c r="R2" s="31" t="s">
        <v>8</v>
      </c>
      <c r="S2" s="31" t="s">
        <v>9</v>
      </c>
      <c r="T2" s="31" t="s">
        <v>10</v>
      </c>
      <c r="U2" s="76" t="s">
        <v>21</v>
      </c>
    </row>
    <row r="3" spans="1:21" ht="60.2" customHeight="1" x14ac:dyDescent="0.3">
      <c r="A3" s="33">
        <v>1</v>
      </c>
      <c r="B3" s="75">
        <v>4018</v>
      </c>
      <c r="C3" s="35" t="s">
        <v>333</v>
      </c>
      <c r="D3" s="35" t="s">
        <v>334</v>
      </c>
      <c r="E3" s="35" t="s">
        <v>67</v>
      </c>
      <c r="F3" s="36">
        <v>9500</v>
      </c>
      <c r="G3" s="37">
        <v>20</v>
      </c>
      <c r="H3" s="38">
        <v>46.5</v>
      </c>
      <c r="I3" s="39">
        <f t="shared" ref="I3:I6" si="0">F3/31*G3</f>
        <v>6129.0322580645161</v>
      </c>
      <c r="J3" s="39">
        <f t="shared" ref="J3:J6" si="1">F3/31/8*H3</f>
        <v>1781.25</v>
      </c>
      <c r="K3" s="39">
        <f t="shared" ref="K3:K6" si="2">I3+J3</f>
        <v>7910.2822580645161</v>
      </c>
      <c r="L3" s="40">
        <v>5</v>
      </c>
      <c r="M3" s="40">
        <v>0</v>
      </c>
      <c r="N3" s="40">
        <v>0</v>
      </c>
      <c r="O3" s="40">
        <v>0</v>
      </c>
      <c r="P3" s="40">
        <v>81</v>
      </c>
      <c r="Q3" s="39"/>
      <c r="R3" s="39">
        <f t="shared" ref="R3:R6" si="3">K3</f>
        <v>7910.2822580645161</v>
      </c>
      <c r="S3" s="39">
        <f t="shared" ref="S3:S6" si="4">L3+M3+N3+O3+P3+Q3</f>
        <v>86</v>
      </c>
      <c r="T3" s="39">
        <f t="shared" ref="T3:T6" si="5">R3-S3</f>
        <v>7824.2822580645161</v>
      </c>
      <c r="U3" s="76"/>
    </row>
    <row r="4" spans="1:21" ht="60.2" customHeight="1" x14ac:dyDescent="0.3">
      <c r="A4" s="33">
        <v>2</v>
      </c>
      <c r="B4" s="75">
        <v>3834</v>
      </c>
      <c r="C4" s="35" t="s">
        <v>230</v>
      </c>
      <c r="D4" s="35" t="s">
        <v>110</v>
      </c>
      <c r="E4" s="35" t="s">
        <v>126</v>
      </c>
      <c r="F4" s="36">
        <v>11000</v>
      </c>
      <c r="G4" s="37">
        <v>26</v>
      </c>
      <c r="H4" s="38">
        <v>90</v>
      </c>
      <c r="I4" s="39">
        <f t="shared" si="0"/>
        <v>9225.8064516129034</v>
      </c>
      <c r="J4" s="39">
        <f t="shared" si="1"/>
        <v>3991.9354838709673</v>
      </c>
      <c r="K4" s="39">
        <f t="shared" si="2"/>
        <v>13217.741935483871</v>
      </c>
      <c r="L4" s="40">
        <v>5</v>
      </c>
      <c r="M4" s="40">
        <v>0</v>
      </c>
      <c r="N4" s="40">
        <v>0</v>
      </c>
      <c r="O4" s="40">
        <v>0</v>
      </c>
      <c r="P4" s="40">
        <v>99</v>
      </c>
      <c r="Q4" s="39"/>
      <c r="R4" s="39">
        <f t="shared" si="3"/>
        <v>13217.741935483871</v>
      </c>
      <c r="S4" s="39">
        <f t="shared" si="4"/>
        <v>104</v>
      </c>
      <c r="T4" s="39">
        <f t="shared" si="5"/>
        <v>13113.741935483871</v>
      </c>
      <c r="U4" s="76"/>
    </row>
    <row r="5" spans="1:21" ht="60.2" customHeight="1" x14ac:dyDescent="0.3">
      <c r="A5" s="33">
        <v>3</v>
      </c>
      <c r="B5" s="75">
        <v>4072</v>
      </c>
      <c r="C5" s="35" t="s">
        <v>427</v>
      </c>
      <c r="D5" s="35" t="s">
        <v>428</v>
      </c>
      <c r="E5" s="35" t="s">
        <v>126</v>
      </c>
      <c r="F5" s="36">
        <v>12000</v>
      </c>
      <c r="G5" s="37">
        <v>7</v>
      </c>
      <c r="H5" s="38">
        <v>47.5</v>
      </c>
      <c r="I5" s="39">
        <f t="shared" si="0"/>
        <v>2709.677419354839</v>
      </c>
      <c r="J5" s="39">
        <f t="shared" si="1"/>
        <v>2298.3870967741937</v>
      </c>
      <c r="K5" s="39">
        <f t="shared" si="2"/>
        <v>5008.0645161290322</v>
      </c>
      <c r="L5" s="40">
        <v>5</v>
      </c>
      <c r="M5" s="40">
        <v>0</v>
      </c>
      <c r="N5" s="40">
        <v>0</v>
      </c>
      <c r="O5" s="40">
        <v>0</v>
      </c>
      <c r="P5" s="40">
        <v>0</v>
      </c>
      <c r="Q5" s="39"/>
      <c r="R5" s="39">
        <f t="shared" si="3"/>
        <v>5008.0645161290322</v>
      </c>
      <c r="S5" s="39">
        <f t="shared" si="4"/>
        <v>5</v>
      </c>
      <c r="T5" s="39">
        <f t="shared" si="5"/>
        <v>5003.0645161290322</v>
      </c>
      <c r="U5" s="76"/>
    </row>
    <row r="6" spans="1:21" ht="60.2" customHeight="1" x14ac:dyDescent="0.3">
      <c r="A6" s="33">
        <v>4</v>
      </c>
      <c r="B6" s="75">
        <v>2338</v>
      </c>
      <c r="C6" s="35" t="s">
        <v>75</v>
      </c>
      <c r="D6" s="35" t="s">
        <v>76</v>
      </c>
      <c r="E6" s="35" t="s">
        <v>77</v>
      </c>
      <c r="F6" s="36">
        <v>12000</v>
      </c>
      <c r="G6" s="37">
        <v>25</v>
      </c>
      <c r="H6" s="38">
        <v>118.5</v>
      </c>
      <c r="I6" s="39">
        <f t="shared" si="0"/>
        <v>9677.4193548387102</v>
      </c>
      <c r="J6" s="39">
        <f t="shared" si="1"/>
        <v>5733.8709677419356</v>
      </c>
      <c r="K6" s="39">
        <f t="shared" si="2"/>
        <v>15411.290322580646</v>
      </c>
      <c r="L6" s="40">
        <v>5</v>
      </c>
      <c r="M6" s="40">
        <v>0</v>
      </c>
      <c r="N6" s="40">
        <v>4000</v>
      </c>
      <c r="O6" s="40">
        <v>0</v>
      </c>
      <c r="P6" s="40">
        <v>95</v>
      </c>
      <c r="Q6" s="39"/>
      <c r="R6" s="39">
        <f t="shared" si="3"/>
        <v>15411.290322580646</v>
      </c>
      <c r="S6" s="39">
        <f t="shared" si="4"/>
        <v>4100</v>
      </c>
      <c r="T6" s="39">
        <f t="shared" si="5"/>
        <v>11311.290322580646</v>
      </c>
      <c r="U6" s="76"/>
    </row>
    <row r="7" spans="1:21" ht="60.2" customHeight="1" x14ac:dyDescent="0.3">
      <c r="A7" s="33">
        <v>5</v>
      </c>
      <c r="B7" s="75">
        <v>3602</v>
      </c>
      <c r="C7" s="35" t="s">
        <v>158</v>
      </c>
      <c r="D7" s="35" t="s">
        <v>159</v>
      </c>
      <c r="E7" s="35" t="s">
        <v>82</v>
      </c>
      <c r="F7" s="36">
        <v>20000</v>
      </c>
      <c r="G7" s="37">
        <v>31</v>
      </c>
      <c r="H7" s="38">
        <v>162</v>
      </c>
      <c r="I7" s="39">
        <f t="shared" ref="I7" si="6">F7/31*G7</f>
        <v>20000</v>
      </c>
      <c r="J7" s="39">
        <f t="shared" ref="J7" si="7">F7/31/8*H7</f>
        <v>13064.516129032258</v>
      </c>
      <c r="K7" s="39">
        <f t="shared" ref="K7" si="8">I7+J7</f>
        <v>33064.516129032258</v>
      </c>
      <c r="L7" s="40">
        <v>5</v>
      </c>
      <c r="M7" s="40">
        <v>0</v>
      </c>
      <c r="N7" s="40">
        <v>0</v>
      </c>
      <c r="O7" s="40">
        <v>0</v>
      </c>
      <c r="P7" s="40">
        <v>169</v>
      </c>
      <c r="Q7" s="39"/>
      <c r="R7" s="39">
        <f t="shared" ref="R7" si="9">K7</f>
        <v>33064.516129032258</v>
      </c>
      <c r="S7" s="39">
        <f t="shared" ref="S7" si="10">L7+M7+N7+O7+P7+Q7</f>
        <v>174</v>
      </c>
      <c r="T7" s="39">
        <f t="shared" ref="T7" si="11">R7-S7</f>
        <v>32890.516129032258</v>
      </c>
      <c r="U7" s="76"/>
    </row>
    <row r="8" spans="1:21" ht="60.2" customHeight="1" x14ac:dyDescent="0.3">
      <c r="A8" s="33">
        <v>6</v>
      </c>
      <c r="B8" s="75">
        <v>4046</v>
      </c>
      <c r="C8" s="35" t="s">
        <v>378</v>
      </c>
      <c r="D8" s="35" t="s">
        <v>379</v>
      </c>
      <c r="E8" s="35" t="s">
        <v>74</v>
      </c>
      <c r="F8" s="36">
        <v>11000</v>
      </c>
      <c r="G8" s="37">
        <v>6</v>
      </c>
      <c r="H8" s="38">
        <v>20</v>
      </c>
      <c r="I8" s="39">
        <f t="shared" ref="I8:I9" si="12">F8/31*G8</f>
        <v>2129.0322580645161</v>
      </c>
      <c r="J8" s="39">
        <f t="shared" ref="J8:J9" si="13">F8/31/8*H8</f>
        <v>887.0967741935483</v>
      </c>
      <c r="K8" s="39">
        <f t="shared" ref="K8:K9" si="14">I8+J8</f>
        <v>3016.1290322580644</v>
      </c>
      <c r="L8" s="40">
        <v>5</v>
      </c>
      <c r="M8" s="40">
        <v>0</v>
      </c>
      <c r="N8" s="40">
        <v>0</v>
      </c>
      <c r="O8" s="40">
        <v>0</v>
      </c>
      <c r="P8" s="40">
        <v>37</v>
      </c>
      <c r="Q8" s="39"/>
      <c r="R8" s="39">
        <f t="shared" ref="R8:R9" si="15">K8</f>
        <v>3016.1290322580644</v>
      </c>
      <c r="S8" s="39">
        <f t="shared" ref="S8:S9" si="16">L8+M8+N8+O8+P8+Q8</f>
        <v>42</v>
      </c>
      <c r="T8" s="39">
        <f t="shared" ref="T8:T9" si="17">R8-S8</f>
        <v>2974.1290322580644</v>
      </c>
      <c r="U8" s="76"/>
    </row>
    <row r="9" spans="1:21" ht="60.2" customHeight="1" x14ac:dyDescent="0.3">
      <c r="A9" s="33">
        <v>7</v>
      </c>
      <c r="B9" s="75">
        <v>3425</v>
      </c>
      <c r="C9" s="35" t="s">
        <v>146</v>
      </c>
      <c r="D9" s="35" t="s">
        <v>147</v>
      </c>
      <c r="E9" s="35" t="s">
        <v>121</v>
      </c>
      <c r="F9" s="36">
        <v>10000</v>
      </c>
      <c r="G9" s="37">
        <v>18</v>
      </c>
      <c r="H9" s="38">
        <v>57</v>
      </c>
      <c r="I9" s="39">
        <f t="shared" si="12"/>
        <v>5806.4516129032254</v>
      </c>
      <c r="J9" s="39">
        <f t="shared" si="13"/>
        <v>2298.3870967741937</v>
      </c>
      <c r="K9" s="39">
        <f t="shared" si="14"/>
        <v>8104.8387096774186</v>
      </c>
      <c r="L9" s="40">
        <v>5</v>
      </c>
      <c r="M9" s="40">
        <v>0</v>
      </c>
      <c r="N9" s="40">
        <v>500</v>
      </c>
      <c r="O9" s="40">
        <v>0</v>
      </c>
      <c r="P9" s="40">
        <v>73</v>
      </c>
      <c r="Q9" s="39"/>
      <c r="R9" s="39">
        <f t="shared" si="15"/>
        <v>8104.8387096774186</v>
      </c>
      <c r="S9" s="39">
        <f t="shared" si="16"/>
        <v>578</v>
      </c>
      <c r="T9" s="39">
        <f t="shared" si="17"/>
        <v>7526.8387096774186</v>
      </c>
      <c r="U9" s="76"/>
    </row>
    <row r="10" spans="1:21" ht="60.2" customHeight="1" x14ac:dyDescent="0.25">
      <c r="A10" s="77"/>
      <c r="B10" s="76"/>
      <c r="C10" s="78"/>
      <c r="D10" s="78"/>
      <c r="E10" s="78"/>
      <c r="F10" s="79">
        <f t="shared" ref="F10:T10" si="18">SUM(F3:F9)</f>
        <v>85500</v>
      </c>
      <c r="G10" s="79">
        <f t="shared" si="18"/>
        <v>133</v>
      </c>
      <c r="H10" s="79">
        <f t="shared" si="18"/>
        <v>541.5</v>
      </c>
      <c r="I10" s="79">
        <f t="shared" si="18"/>
        <v>55677.419354838712</v>
      </c>
      <c r="J10" s="79">
        <f t="shared" si="18"/>
        <v>30055.443548387098</v>
      </c>
      <c r="K10" s="79">
        <f t="shared" si="18"/>
        <v>85732.862903225803</v>
      </c>
      <c r="L10" s="79">
        <f t="shared" si="18"/>
        <v>35</v>
      </c>
      <c r="M10" s="79">
        <f t="shared" si="18"/>
        <v>0</v>
      </c>
      <c r="N10" s="79">
        <f t="shared" si="18"/>
        <v>4500</v>
      </c>
      <c r="O10" s="79">
        <f t="shared" si="18"/>
        <v>0</v>
      </c>
      <c r="P10" s="79">
        <f t="shared" si="18"/>
        <v>554</v>
      </c>
      <c r="Q10" s="79">
        <f t="shared" si="18"/>
        <v>0</v>
      </c>
      <c r="R10" s="79">
        <f t="shared" si="18"/>
        <v>85732.862903225803</v>
      </c>
      <c r="S10" s="79">
        <f t="shared" si="18"/>
        <v>5089</v>
      </c>
      <c r="T10" s="79">
        <f t="shared" si="18"/>
        <v>80643.862903225803</v>
      </c>
      <c r="U10" s="76"/>
    </row>
    <row r="11" spans="1:21" ht="60.2" customHeight="1" x14ac:dyDescent="0.25">
      <c r="A11" s="77"/>
      <c r="B11" s="76"/>
      <c r="C11" s="76"/>
      <c r="D11" s="76"/>
      <c r="E11" s="76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76"/>
    </row>
  </sheetData>
  <mergeCells count="1">
    <mergeCell ref="A1:T1"/>
  </mergeCells>
  <pageMargins left="0.7" right="0.7" top="0.75" bottom="0.75" header="0.3" footer="0.3"/>
  <pageSetup paperSize="9" scale="51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zoomScale="55" zoomScaleNormal="55" workbookViewId="0">
      <pane ySplit="1" topLeftCell="A2" activePane="bottomLeft" state="frozen"/>
      <selection pane="bottomLeft" activeCell="C19" sqref="C19"/>
    </sheetView>
  </sheetViews>
  <sheetFormatPr defaultRowHeight="19.5" x14ac:dyDescent="0.25"/>
  <cols>
    <col min="1" max="1" width="9" style="42" bestFit="1" customWidth="1"/>
    <col min="2" max="2" width="11.85546875" style="29" bestFit="1" customWidth="1"/>
    <col min="3" max="3" width="49.7109375" style="29" bestFit="1" customWidth="1"/>
    <col min="4" max="4" width="49" style="29" bestFit="1" customWidth="1"/>
    <col min="5" max="5" width="40.42578125" style="29" bestFit="1" customWidth="1"/>
    <col min="6" max="6" width="20.7109375" style="50" bestFit="1" customWidth="1"/>
    <col min="7" max="7" width="10" style="50" bestFit="1" customWidth="1"/>
    <col min="8" max="8" width="12.140625" style="50" bestFit="1" customWidth="1"/>
    <col min="9" max="9" width="24" style="50" bestFit="1" customWidth="1"/>
    <col min="10" max="10" width="19.85546875" style="50" bestFit="1" customWidth="1"/>
    <col min="11" max="11" width="16" style="50" bestFit="1" customWidth="1"/>
    <col min="12" max="12" width="11" style="50" bestFit="1" customWidth="1"/>
    <col min="13" max="13" width="19.85546875" style="50" bestFit="1" customWidth="1"/>
    <col min="14" max="14" width="15.140625" style="50" bestFit="1" customWidth="1"/>
    <col min="15" max="16" width="11.5703125" style="50" bestFit="1" customWidth="1"/>
    <col min="17" max="17" width="13.42578125" style="50" bestFit="1" customWidth="1"/>
    <col min="18" max="18" width="22" style="50" bestFit="1" customWidth="1"/>
    <col min="19" max="19" width="25.85546875" style="50" bestFit="1" customWidth="1"/>
    <col min="20" max="20" width="19.85546875" style="50" bestFit="1" customWidth="1"/>
    <col min="21" max="259" width="9.140625" style="29" customWidth="1"/>
    <col min="260" max="16384" width="9.140625" style="29"/>
  </cols>
  <sheetData>
    <row r="1" spans="1:20" ht="45.75" x14ac:dyDescent="0.25">
      <c r="A1" s="108" t="s">
        <v>23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10"/>
    </row>
    <row r="2" spans="1:20" ht="40.5" x14ac:dyDescent="0.25">
      <c r="A2" s="30" t="s">
        <v>22</v>
      </c>
      <c r="B2" s="30" t="s">
        <v>0</v>
      </c>
      <c r="C2" s="30" t="s">
        <v>1</v>
      </c>
      <c r="D2" s="30" t="s">
        <v>12</v>
      </c>
      <c r="E2" s="30" t="s">
        <v>11</v>
      </c>
      <c r="F2" s="31" t="s">
        <v>2</v>
      </c>
      <c r="G2" s="31" t="s">
        <v>14</v>
      </c>
      <c r="H2" s="31" t="s">
        <v>15</v>
      </c>
      <c r="I2" s="31" t="s">
        <v>16</v>
      </c>
      <c r="J2" s="31" t="s">
        <v>17</v>
      </c>
      <c r="K2" s="31" t="s">
        <v>13</v>
      </c>
      <c r="L2" s="31" t="s">
        <v>3</v>
      </c>
      <c r="M2" s="31" t="s">
        <v>19</v>
      </c>
      <c r="N2" s="31" t="s">
        <v>4</v>
      </c>
      <c r="O2" s="31" t="s">
        <v>5</v>
      </c>
      <c r="P2" s="31" t="s">
        <v>6</v>
      </c>
      <c r="Q2" s="32" t="s">
        <v>7</v>
      </c>
      <c r="R2" s="31" t="s">
        <v>8</v>
      </c>
      <c r="S2" s="31" t="s">
        <v>9</v>
      </c>
      <c r="T2" s="31" t="s">
        <v>10</v>
      </c>
    </row>
    <row r="3" spans="1:20" s="42" customFormat="1" ht="20.25" x14ac:dyDescent="0.3">
      <c r="A3" s="33">
        <v>1</v>
      </c>
      <c r="B3" s="34">
        <v>2</v>
      </c>
      <c r="C3" s="35" t="s">
        <v>24</v>
      </c>
      <c r="D3" s="35" t="s">
        <v>25</v>
      </c>
      <c r="E3" s="35" t="s">
        <v>26</v>
      </c>
      <c r="F3" s="36">
        <v>375000</v>
      </c>
      <c r="G3" s="37">
        <v>31</v>
      </c>
      <c r="H3" s="38"/>
      <c r="I3" s="39">
        <f t="shared" ref="I3:I24" si="0">F3/31*G3</f>
        <v>375000</v>
      </c>
      <c r="J3" s="39">
        <f t="shared" ref="J3:J24" si="1">F3/31/8*H3</f>
        <v>0</v>
      </c>
      <c r="K3" s="39">
        <f t="shared" ref="K3:K24" si="2">I3+J3</f>
        <v>375000</v>
      </c>
      <c r="L3" s="40">
        <v>5</v>
      </c>
      <c r="M3" s="40">
        <v>200</v>
      </c>
      <c r="N3" s="40">
        <v>0</v>
      </c>
      <c r="O3" s="40">
        <v>1800</v>
      </c>
      <c r="P3" s="40">
        <v>0</v>
      </c>
      <c r="Q3" s="41">
        <v>84240</v>
      </c>
      <c r="R3" s="39">
        <f t="shared" ref="R3:R24" si="3">K3</f>
        <v>375000</v>
      </c>
      <c r="S3" s="39">
        <f t="shared" ref="S3:S24" si="4">L3+M3+N3+O3+P3+Q3</f>
        <v>86245</v>
      </c>
      <c r="T3" s="39">
        <f t="shared" ref="T3:T24" si="5">R3-S3</f>
        <v>288755</v>
      </c>
    </row>
    <row r="4" spans="1:20" ht="20.25" x14ac:dyDescent="0.3">
      <c r="A4" s="33">
        <v>2</v>
      </c>
      <c r="B4" s="34">
        <v>9</v>
      </c>
      <c r="C4" s="35" t="s">
        <v>27</v>
      </c>
      <c r="D4" s="35" t="s">
        <v>28</v>
      </c>
      <c r="E4" s="35" t="s">
        <v>26</v>
      </c>
      <c r="F4" s="36">
        <v>17000</v>
      </c>
      <c r="G4" s="37">
        <v>31</v>
      </c>
      <c r="H4" s="38"/>
      <c r="I4" s="39">
        <f t="shared" si="0"/>
        <v>17000</v>
      </c>
      <c r="J4" s="39">
        <f t="shared" si="1"/>
        <v>0</v>
      </c>
      <c r="K4" s="39">
        <f t="shared" si="2"/>
        <v>17000</v>
      </c>
      <c r="L4" s="40">
        <v>5</v>
      </c>
      <c r="M4" s="40">
        <v>0</v>
      </c>
      <c r="N4" s="40">
        <v>0</v>
      </c>
      <c r="O4" s="40">
        <v>1710</v>
      </c>
      <c r="P4" s="40">
        <v>107</v>
      </c>
      <c r="Q4" s="43"/>
      <c r="R4" s="39">
        <f t="shared" si="3"/>
        <v>17000</v>
      </c>
      <c r="S4" s="39">
        <f t="shared" si="4"/>
        <v>1822</v>
      </c>
      <c r="T4" s="39">
        <f t="shared" si="5"/>
        <v>15178</v>
      </c>
    </row>
    <row r="5" spans="1:20" ht="20.25" x14ac:dyDescent="0.3">
      <c r="A5" s="33">
        <v>3</v>
      </c>
      <c r="B5" s="34">
        <v>20</v>
      </c>
      <c r="C5" s="35" t="s">
        <v>29</v>
      </c>
      <c r="D5" s="35" t="s">
        <v>30</v>
      </c>
      <c r="E5" s="35" t="s">
        <v>26</v>
      </c>
      <c r="F5" s="36">
        <v>18000</v>
      </c>
      <c r="G5" s="37">
        <v>31</v>
      </c>
      <c r="H5" s="38"/>
      <c r="I5" s="39">
        <f t="shared" si="0"/>
        <v>18000</v>
      </c>
      <c r="J5" s="39">
        <f t="shared" si="1"/>
        <v>0</v>
      </c>
      <c r="K5" s="39">
        <f t="shared" si="2"/>
        <v>18000</v>
      </c>
      <c r="L5" s="40">
        <v>5</v>
      </c>
      <c r="M5" s="40">
        <v>0</v>
      </c>
      <c r="N5" s="40">
        <v>0</v>
      </c>
      <c r="O5" s="40">
        <v>0</v>
      </c>
      <c r="P5" s="40">
        <v>0</v>
      </c>
      <c r="Q5" s="43"/>
      <c r="R5" s="39">
        <f t="shared" si="3"/>
        <v>18000</v>
      </c>
      <c r="S5" s="39">
        <f t="shared" si="4"/>
        <v>5</v>
      </c>
      <c r="T5" s="39">
        <f t="shared" si="5"/>
        <v>17995</v>
      </c>
    </row>
    <row r="6" spans="1:20" ht="20.25" x14ac:dyDescent="0.3">
      <c r="A6" s="33">
        <v>4</v>
      </c>
      <c r="B6" s="34">
        <v>26</v>
      </c>
      <c r="C6" s="35" t="s">
        <v>31</v>
      </c>
      <c r="D6" s="35" t="s">
        <v>32</v>
      </c>
      <c r="E6" s="35" t="s">
        <v>26</v>
      </c>
      <c r="F6" s="36">
        <v>20800</v>
      </c>
      <c r="G6" s="37">
        <v>23.5</v>
      </c>
      <c r="H6" s="38"/>
      <c r="I6" s="39">
        <f t="shared" si="0"/>
        <v>15767.741935483871</v>
      </c>
      <c r="J6" s="39">
        <f t="shared" si="1"/>
        <v>0</v>
      </c>
      <c r="K6" s="39">
        <f t="shared" si="2"/>
        <v>15767.741935483871</v>
      </c>
      <c r="L6" s="40">
        <v>5</v>
      </c>
      <c r="M6" s="40">
        <v>0</v>
      </c>
      <c r="N6" s="40">
        <v>0</v>
      </c>
      <c r="O6" s="40">
        <v>1479</v>
      </c>
      <c r="P6" s="40">
        <v>93</v>
      </c>
      <c r="Q6" s="43"/>
      <c r="R6" s="39">
        <f t="shared" si="3"/>
        <v>15767.741935483871</v>
      </c>
      <c r="S6" s="39">
        <f t="shared" si="4"/>
        <v>1577</v>
      </c>
      <c r="T6" s="39">
        <f t="shared" si="5"/>
        <v>14190.741935483871</v>
      </c>
    </row>
    <row r="7" spans="1:20" ht="20.25" x14ac:dyDescent="0.3">
      <c r="A7" s="33">
        <v>5</v>
      </c>
      <c r="B7" s="34">
        <v>981</v>
      </c>
      <c r="C7" s="35" t="s">
        <v>42</v>
      </c>
      <c r="D7" s="35" t="s">
        <v>43</v>
      </c>
      <c r="E7" s="35" t="s">
        <v>26</v>
      </c>
      <c r="F7" s="36">
        <v>20975</v>
      </c>
      <c r="G7" s="37">
        <v>31</v>
      </c>
      <c r="H7" s="38"/>
      <c r="I7" s="39">
        <f t="shared" si="0"/>
        <v>20975</v>
      </c>
      <c r="J7" s="39">
        <f t="shared" si="1"/>
        <v>0</v>
      </c>
      <c r="K7" s="39">
        <f t="shared" si="2"/>
        <v>20975</v>
      </c>
      <c r="L7" s="40">
        <v>5</v>
      </c>
      <c r="M7" s="40">
        <v>200</v>
      </c>
      <c r="N7" s="40">
        <v>0</v>
      </c>
      <c r="O7" s="40">
        <v>0</v>
      </c>
      <c r="P7" s="40">
        <v>118</v>
      </c>
      <c r="Q7" s="43"/>
      <c r="R7" s="39">
        <f t="shared" si="3"/>
        <v>20975</v>
      </c>
      <c r="S7" s="39">
        <f t="shared" si="4"/>
        <v>323</v>
      </c>
      <c r="T7" s="39">
        <f t="shared" si="5"/>
        <v>20652</v>
      </c>
    </row>
    <row r="8" spans="1:20" ht="20.25" x14ac:dyDescent="0.3">
      <c r="A8" s="33">
        <v>6</v>
      </c>
      <c r="B8" s="34">
        <v>1148</v>
      </c>
      <c r="C8" s="35" t="s">
        <v>44</v>
      </c>
      <c r="D8" s="35" t="s">
        <v>45</v>
      </c>
      <c r="E8" s="35" t="s">
        <v>26</v>
      </c>
      <c r="F8" s="36">
        <v>56000</v>
      </c>
      <c r="G8" s="37">
        <v>31</v>
      </c>
      <c r="H8" s="38"/>
      <c r="I8" s="39">
        <f t="shared" si="0"/>
        <v>56000</v>
      </c>
      <c r="J8" s="39">
        <f t="shared" si="1"/>
        <v>0</v>
      </c>
      <c r="K8" s="39">
        <f t="shared" si="2"/>
        <v>56000</v>
      </c>
      <c r="L8" s="40">
        <v>5</v>
      </c>
      <c r="M8" s="40">
        <v>200</v>
      </c>
      <c r="N8" s="40">
        <v>0</v>
      </c>
      <c r="O8" s="40">
        <v>1800</v>
      </c>
      <c r="P8" s="40">
        <v>0</v>
      </c>
      <c r="Q8" s="43"/>
      <c r="R8" s="39">
        <f t="shared" si="3"/>
        <v>56000</v>
      </c>
      <c r="S8" s="39">
        <f t="shared" si="4"/>
        <v>2005</v>
      </c>
      <c r="T8" s="39">
        <f t="shared" si="5"/>
        <v>53995</v>
      </c>
    </row>
    <row r="9" spans="1:20" ht="20.25" x14ac:dyDescent="0.3">
      <c r="A9" s="33">
        <v>7</v>
      </c>
      <c r="B9" s="34">
        <v>2552</v>
      </c>
      <c r="C9" s="35" t="s">
        <v>78</v>
      </c>
      <c r="D9" s="35" t="s">
        <v>79</v>
      </c>
      <c r="E9" s="35" t="s">
        <v>26</v>
      </c>
      <c r="F9" s="36">
        <v>20100</v>
      </c>
      <c r="G9" s="37">
        <v>31</v>
      </c>
      <c r="H9" s="38"/>
      <c r="I9" s="39">
        <f t="shared" si="0"/>
        <v>20100</v>
      </c>
      <c r="J9" s="39">
        <f t="shared" si="1"/>
        <v>0</v>
      </c>
      <c r="K9" s="39">
        <f t="shared" si="2"/>
        <v>20100</v>
      </c>
      <c r="L9" s="40">
        <v>5</v>
      </c>
      <c r="M9" s="40">
        <v>0</v>
      </c>
      <c r="N9" s="40">
        <v>0</v>
      </c>
      <c r="O9" s="40">
        <v>0</v>
      </c>
      <c r="P9" s="40">
        <v>114</v>
      </c>
      <c r="Q9" s="43"/>
      <c r="R9" s="39">
        <f t="shared" si="3"/>
        <v>20100</v>
      </c>
      <c r="S9" s="39">
        <f t="shared" si="4"/>
        <v>119</v>
      </c>
      <c r="T9" s="39">
        <f t="shared" si="5"/>
        <v>19981</v>
      </c>
    </row>
    <row r="10" spans="1:20" ht="20.25" x14ac:dyDescent="0.3">
      <c r="A10" s="33">
        <v>8</v>
      </c>
      <c r="B10" s="34">
        <v>2746</v>
      </c>
      <c r="C10" s="35" t="s">
        <v>95</v>
      </c>
      <c r="D10" s="35" t="s">
        <v>96</v>
      </c>
      <c r="E10" s="35" t="s">
        <v>26</v>
      </c>
      <c r="F10" s="36">
        <v>32200</v>
      </c>
      <c r="G10" s="37">
        <v>31</v>
      </c>
      <c r="H10" s="37">
        <v>36.5</v>
      </c>
      <c r="I10" s="39">
        <f t="shared" si="0"/>
        <v>32200</v>
      </c>
      <c r="J10" s="39">
        <f t="shared" si="1"/>
        <v>4739.1129032258068</v>
      </c>
      <c r="K10" s="39">
        <f t="shared" si="2"/>
        <v>36939.112903225803</v>
      </c>
      <c r="L10" s="40">
        <v>5</v>
      </c>
      <c r="M10" s="40">
        <v>0</v>
      </c>
      <c r="N10" s="40">
        <v>0</v>
      </c>
      <c r="O10" s="40">
        <v>0</v>
      </c>
      <c r="P10" s="40">
        <v>0</v>
      </c>
      <c r="Q10" s="43"/>
      <c r="R10" s="39">
        <f t="shared" si="3"/>
        <v>36939.112903225803</v>
      </c>
      <c r="S10" s="39">
        <f t="shared" si="4"/>
        <v>5</v>
      </c>
      <c r="T10" s="39">
        <f t="shared" si="5"/>
        <v>36934.112903225803</v>
      </c>
    </row>
    <row r="11" spans="1:20" ht="20.25" x14ac:dyDescent="0.3">
      <c r="A11" s="33">
        <v>9</v>
      </c>
      <c r="B11" s="34">
        <v>2799</v>
      </c>
      <c r="C11" s="35" t="s">
        <v>97</v>
      </c>
      <c r="D11" s="35" t="s">
        <v>98</v>
      </c>
      <c r="E11" s="35" t="s">
        <v>26</v>
      </c>
      <c r="F11" s="36">
        <v>10500</v>
      </c>
      <c r="G11" s="37">
        <v>31</v>
      </c>
      <c r="H11" s="38">
        <v>109.5</v>
      </c>
      <c r="I11" s="39">
        <f t="shared" si="0"/>
        <v>10500</v>
      </c>
      <c r="J11" s="39">
        <f t="shared" si="1"/>
        <v>4636.0887096774195</v>
      </c>
      <c r="K11" s="39">
        <f t="shared" si="2"/>
        <v>15136.08870967742</v>
      </c>
      <c r="L11" s="40">
        <v>5</v>
      </c>
      <c r="M11" s="40">
        <v>0</v>
      </c>
      <c r="N11" s="40">
        <v>2500</v>
      </c>
      <c r="O11" s="40">
        <v>0</v>
      </c>
      <c r="P11" s="40">
        <v>114</v>
      </c>
      <c r="Q11" s="43"/>
      <c r="R11" s="39">
        <f t="shared" si="3"/>
        <v>15136.08870967742</v>
      </c>
      <c r="S11" s="39">
        <f t="shared" si="4"/>
        <v>2619</v>
      </c>
      <c r="T11" s="39">
        <f t="shared" si="5"/>
        <v>12517.08870967742</v>
      </c>
    </row>
    <row r="12" spans="1:20" ht="20.25" x14ac:dyDescent="0.3">
      <c r="A12" s="33">
        <v>10</v>
      </c>
      <c r="B12" s="34">
        <v>2885</v>
      </c>
      <c r="C12" s="35" t="s">
        <v>105</v>
      </c>
      <c r="D12" s="35" t="s">
        <v>106</v>
      </c>
      <c r="E12" s="35" t="s">
        <v>26</v>
      </c>
      <c r="F12" s="36">
        <v>18750</v>
      </c>
      <c r="G12" s="37">
        <v>30</v>
      </c>
      <c r="H12" s="38">
        <v>8</v>
      </c>
      <c r="I12" s="39">
        <f t="shared" si="0"/>
        <v>18145.161290322583</v>
      </c>
      <c r="J12" s="39">
        <f t="shared" si="1"/>
        <v>604.83870967741939</v>
      </c>
      <c r="K12" s="39">
        <f t="shared" si="2"/>
        <v>18750.000000000004</v>
      </c>
      <c r="L12" s="40">
        <v>5</v>
      </c>
      <c r="M12" s="40">
        <v>0</v>
      </c>
      <c r="N12" s="40">
        <v>0</v>
      </c>
      <c r="O12" s="40">
        <v>0</v>
      </c>
      <c r="P12" s="40">
        <v>110</v>
      </c>
      <c r="Q12" s="44"/>
      <c r="R12" s="39">
        <f t="shared" si="3"/>
        <v>18750.000000000004</v>
      </c>
      <c r="S12" s="39">
        <f t="shared" si="4"/>
        <v>115</v>
      </c>
      <c r="T12" s="39">
        <f t="shared" si="5"/>
        <v>18635.000000000004</v>
      </c>
    </row>
    <row r="13" spans="1:20" ht="20.25" x14ac:dyDescent="0.3">
      <c r="A13" s="33">
        <v>11</v>
      </c>
      <c r="B13" s="34">
        <v>3016</v>
      </c>
      <c r="C13" s="35" t="s">
        <v>115</v>
      </c>
      <c r="D13" s="35" t="s">
        <v>116</v>
      </c>
      <c r="E13" s="35" t="s">
        <v>26</v>
      </c>
      <c r="F13" s="36">
        <v>24000</v>
      </c>
      <c r="G13" s="37">
        <v>31</v>
      </c>
      <c r="H13" s="38">
        <v>38.5</v>
      </c>
      <c r="I13" s="39">
        <f t="shared" si="0"/>
        <v>24000</v>
      </c>
      <c r="J13" s="39">
        <f t="shared" si="1"/>
        <v>3725.8064516129034</v>
      </c>
      <c r="K13" s="39">
        <f t="shared" si="2"/>
        <v>27725.806451612902</v>
      </c>
      <c r="L13" s="40">
        <v>5</v>
      </c>
      <c r="M13" s="40">
        <v>0</v>
      </c>
      <c r="N13" s="40">
        <v>0</v>
      </c>
      <c r="O13" s="40">
        <v>0</v>
      </c>
      <c r="P13" s="40">
        <v>135</v>
      </c>
      <c r="Q13" s="43"/>
      <c r="R13" s="39">
        <f t="shared" si="3"/>
        <v>27725.806451612902</v>
      </c>
      <c r="S13" s="39">
        <f t="shared" si="4"/>
        <v>140</v>
      </c>
      <c r="T13" s="39">
        <f t="shared" si="5"/>
        <v>27585.806451612902</v>
      </c>
    </row>
    <row r="14" spans="1:20" ht="20.25" x14ac:dyDescent="0.3">
      <c r="A14" s="33">
        <v>12</v>
      </c>
      <c r="B14" s="34">
        <v>3309</v>
      </c>
      <c r="C14" s="35" t="s">
        <v>127</v>
      </c>
      <c r="D14" s="35" t="s">
        <v>128</v>
      </c>
      <c r="E14" s="35" t="s">
        <v>26</v>
      </c>
      <c r="F14" s="36">
        <v>11200</v>
      </c>
      <c r="G14" s="37">
        <v>31</v>
      </c>
      <c r="H14" s="38">
        <v>136.5</v>
      </c>
      <c r="I14" s="39">
        <f t="shared" si="0"/>
        <v>11200</v>
      </c>
      <c r="J14" s="39">
        <f t="shared" si="1"/>
        <v>6164.5161290322585</v>
      </c>
      <c r="K14" s="39">
        <f t="shared" si="2"/>
        <v>17364.516129032258</v>
      </c>
      <c r="L14" s="40">
        <v>5</v>
      </c>
      <c r="M14" s="40">
        <v>0</v>
      </c>
      <c r="N14" s="40">
        <v>3000</v>
      </c>
      <c r="O14" s="40">
        <v>0</v>
      </c>
      <c r="P14" s="40">
        <v>114</v>
      </c>
      <c r="Q14" s="43"/>
      <c r="R14" s="39">
        <f t="shared" si="3"/>
        <v>17364.516129032258</v>
      </c>
      <c r="S14" s="39">
        <f t="shared" si="4"/>
        <v>3119</v>
      </c>
      <c r="T14" s="39">
        <f t="shared" si="5"/>
        <v>14245.516129032258</v>
      </c>
    </row>
    <row r="15" spans="1:20" ht="20.25" x14ac:dyDescent="0.3">
      <c r="A15" s="33">
        <v>13</v>
      </c>
      <c r="B15" s="34">
        <v>3539</v>
      </c>
      <c r="C15" s="35" t="s">
        <v>154</v>
      </c>
      <c r="D15" s="35" t="s">
        <v>155</v>
      </c>
      <c r="E15" s="35" t="s">
        <v>26</v>
      </c>
      <c r="F15" s="36">
        <v>11200</v>
      </c>
      <c r="G15" s="37">
        <v>31</v>
      </c>
      <c r="H15" s="38">
        <v>98.5</v>
      </c>
      <c r="I15" s="39">
        <f t="shared" si="0"/>
        <v>11200</v>
      </c>
      <c r="J15" s="39">
        <f t="shared" si="1"/>
        <v>4448.3870967741941</v>
      </c>
      <c r="K15" s="39">
        <f t="shared" si="2"/>
        <v>15648.387096774193</v>
      </c>
      <c r="L15" s="40">
        <v>5</v>
      </c>
      <c r="M15" s="40">
        <v>0</v>
      </c>
      <c r="N15" s="40">
        <v>2500</v>
      </c>
      <c r="O15" s="40">
        <v>0</v>
      </c>
      <c r="P15" s="40">
        <v>114</v>
      </c>
      <c r="Q15" s="43"/>
      <c r="R15" s="39">
        <f t="shared" si="3"/>
        <v>15648.387096774193</v>
      </c>
      <c r="S15" s="39">
        <f t="shared" si="4"/>
        <v>2619</v>
      </c>
      <c r="T15" s="39">
        <f t="shared" si="5"/>
        <v>13029.387096774193</v>
      </c>
    </row>
    <row r="16" spans="1:20" ht="20.25" x14ac:dyDescent="0.3">
      <c r="A16" s="33">
        <v>14</v>
      </c>
      <c r="B16" s="34">
        <v>3650</v>
      </c>
      <c r="C16" s="35" t="s">
        <v>180</v>
      </c>
      <c r="D16" s="35" t="s">
        <v>181</v>
      </c>
      <c r="E16" s="35" t="s">
        <v>26</v>
      </c>
      <c r="F16" s="36">
        <v>13000</v>
      </c>
      <c r="G16" s="37">
        <v>24</v>
      </c>
      <c r="H16" s="38">
        <v>47.5</v>
      </c>
      <c r="I16" s="39">
        <f t="shared" si="0"/>
        <v>10064.516129032258</v>
      </c>
      <c r="J16" s="39">
        <f t="shared" si="1"/>
        <v>2489.9193548387098</v>
      </c>
      <c r="K16" s="39">
        <f t="shared" si="2"/>
        <v>12554.435483870968</v>
      </c>
      <c r="L16" s="40">
        <v>5</v>
      </c>
      <c r="M16" s="40">
        <v>0</v>
      </c>
      <c r="N16" s="40">
        <v>3000</v>
      </c>
      <c r="O16" s="40">
        <v>0</v>
      </c>
      <c r="P16" s="40">
        <v>92</v>
      </c>
      <c r="Q16" s="43"/>
      <c r="R16" s="39">
        <f t="shared" si="3"/>
        <v>12554.435483870968</v>
      </c>
      <c r="S16" s="39">
        <f t="shared" si="4"/>
        <v>3097</v>
      </c>
      <c r="T16" s="39">
        <f t="shared" si="5"/>
        <v>9457.4354838709678</v>
      </c>
    </row>
    <row r="17" spans="1:20" ht="20.25" x14ac:dyDescent="0.3">
      <c r="A17" s="33">
        <v>15</v>
      </c>
      <c r="B17" s="34">
        <v>3715</v>
      </c>
      <c r="C17" s="35" t="s">
        <v>195</v>
      </c>
      <c r="D17" s="35" t="s">
        <v>196</v>
      </c>
      <c r="E17" s="35" t="s">
        <v>26</v>
      </c>
      <c r="F17" s="36">
        <v>11200</v>
      </c>
      <c r="G17" s="37">
        <v>27</v>
      </c>
      <c r="H17" s="38">
        <v>109</v>
      </c>
      <c r="I17" s="39">
        <f t="shared" si="0"/>
        <v>9754.8387096774204</v>
      </c>
      <c r="J17" s="39">
        <f t="shared" si="1"/>
        <v>4922.5806451612907</v>
      </c>
      <c r="K17" s="39">
        <f t="shared" si="2"/>
        <v>14677.419354838712</v>
      </c>
      <c r="L17" s="40">
        <v>5</v>
      </c>
      <c r="M17" s="40">
        <v>0</v>
      </c>
      <c r="N17" s="40">
        <v>3000</v>
      </c>
      <c r="O17" s="40">
        <v>0</v>
      </c>
      <c r="P17" s="40">
        <v>99</v>
      </c>
      <c r="Q17" s="43"/>
      <c r="R17" s="39">
        <f t="shared" si="3"/>
        <v>14677.419354838712</v>
      </c>
      <c r="S17" s="39">
        <f t="shared" si="4"/>
        <v>3104</v>
      </c>
      <c r="T17" s="39">
        <f t="shared" si="5"/>
        <v>11573.419354838712</v>
      </c>
    </row>
    <row r="18" spans="1:20" ht="20.25" x14ac:dyDescent="0.3">
      <c r="A18" s="33">
        <v>16</v>
      </c>
      <c r="B18" s="34">
        <v>3897</v>
      </c>
      <c r="C18" s="35" t="s">
        <v>248</v>
      </c>
      <c r="D18" s="35" t="s">
        <v>249</v>
      </c>
      <c r="E18" s="35" t="s">
        <v>26</v>
      </c>
      <c r="F18" s="36">
        <v>17000</v>
      </c>
      <c r="G18" s="37">
        <v>14</v>
      </c>
      <c r="H18" s="38">
        <v>26</v>
      </c>
      <c r="I18" s="39">
        <f t="shared" si="0"/>
        <v>7677.4193548387093</v>
      </c>
      <c r="J18" s="39">
        <f t="shared" si="1"/>
        <v>1782.258064516129</v>
      </c>
      <c r="K18" s="39">
        <f t="shared" si="2"/>
        <v>9459.677419354839</v>
      </c>
      <c r="L18" s="40">
        <v>5</v>
      </c>
      <c r="M18" s="40">
        <v>0</v>
      </c>
      <c r="N18" s="40">
        <v>0</v>
      </c>
      <c r="O18" s="40">
        <v>0</v>
      </c>
      <c r="P18" s="40">
        <v>71</v>
      </c>
      <c r="Q18" s="43"/>
      <c r="R18" s="39">
        <f t="shared" si="3"/>
        <v>9459.677419354839</v>
      </c>
      <c r="S18" s="39">
        <f t="shared" si="4"/>
        <v>76</v>
      </c>
      <c r="T18" s="39">
        <f t="shared" si="5"/>
        <v>9383.677419354839</v>
      </c>
    </row>
    <row r="19" spans="1:20" ht="20.25" x14ac:dyDescent="0.3">
      <c r="A19" s="33">
        <v>17</v>
      </c>
      <c r="B19" s="34">
        <v>3904</v>
      </c>
      <c r="C19" s="35" t="s">
        <v>103</v>
      </c>
      <c r="D19" s="35" t="s">
        <v>250</v>
      </c>
      <c r="E19" s="35" t="s">
        <v>26</v>
      </c>
      <c r="F19" s="36">
        <v>16000</v>
      </c>
      <c r="G19" s="37">
        <v>19</v>
      </c>
      <c r="H19" s="38">
        <v>32</v>
      </c>
      <c r="I19" s="39">
        <f t="shared" si="0"/>
        <v>9806.4516129032254</v>
      </c>
      <c r="J19" s="39">
        <f t="shared" si="1"/>
        <v>2064.516129032258</v>
      </c>
      <c r="K19" s="39">
        <f t="shared" si="2"/>
        <v>11870.967741935483</v>
      </c>
      <c r="L19" s="40">
        <v>5</v>
      </c>
      <c r="M19" s="40">
        <v>0</v>
      </c>
      <c r="N19" s="40">
        <v>3000</v>
      </c>
      <c r="O19" s="40">
        <v>0</v>
      </c>
      <c r="P19" s="40">
        <v>84</v>
      </c>
      <c r="Q19" s="45"/>
      <c r="R19" s="39">
        <f t="shared" si="3"/>
        <v>11870.967741935483</v>
      </c>
      <c r="S19" s="39">
        <f t="shared" si="4"/>
        <v>3089</v>
      </c>
      <c r="T19" s="39">
        <f t="shared" si="5"/>
        <v>8781.967741935483</v>
      </c>
    </row>
    <row r="20" spans="1:20" s="46" customFormat="1" ht="20.25" x14ac:dyDescent="0.3">
      <c r="A20" s="33">
        <v>18</v>
      </c>
      <c r="B20" s="34">
        <v>3939</v>
      </c>
      <c r="C20" s="35" t="s">
        <v>273</v>
      </c>
      <c r="D20" s="35" t="s">
        <v>274</v>
      </c>
      <c r="E20" s="35" t="s">
        <v>26</v>
      </c>
      <c r="F20" s="36">
        <v>11000</v>
      </c>
      <c r="G20" s="37">
        <v>2</v>
      </c>
      <c r="H20" s="38">
        <v>19.5</v>
      </c>
      <c r="I20" s="39">
        <f t="shared" si="0"/>
        <v>709.67741935483866</v>
      </c>
      <c r="J20" s="39">
        <f t="shared" si="1"/>
        <v>864.91935483870964</v>
      </c>
      <c r="K20" s="39">
        <f t="shared" si="2"/>
        <v>1574.5967741935483</v>
      </c>
      <c r="L20" s="40">
        <v>5</v>
      </c>
      <c r="M20" s="40">
        <v>0</v>
      </c>
      <c r="N20" s="40">
        <v>0</v>
      </c>
      <c r="O20" s="40">
        <v>0</v>
      </c>
      <c r="P20" s="40">
        <v>26</v>
      </c>
      <c r="Q20" s="43"/>
      <c r="R20" s="39">
        <f t="shared" si="3"/>
        <v>1574.5967741935483</v>
      </c>
      <c r="S20" s="39">
        <f t="shared" si="4"/>
        <v>31</v>
      </c>
      <c r="T20" s="39">
        <f t="shared" si="5"/>
        <v>1543.5967741935483</v>
      </c>
    </row>
    <row r="21" spans="1:20" s="46" customFormat="1" ht="20.25" x14ac:dyDescent="0.3">
      <c r="A21" s="33">
        <v>19</v>
      </c>
      <c r="B21" s="34">
        <v>3985</v>
      </c>
      <c r="C21" s="35" t="s">
        <v>36</v>
      </c>
      <c r="D21" s="35" t="s">
        <v>304</v>
      </c>
      <c r="E21" s="35" t="s">
        <v>26</v>
      </c>
      <c r="F21" s="36">
        <v>12000</v>
      </c>
      <c r="G21" s="37">
        <v>28</v>
      </c>
      <c r="H21" s="38">
        <v>47</v>
      </c>
      <c r="I21" s="39">
        <f t="shared" si="0"/>
        <v>10838.709677419356</v>
      </c>
      <c r="J21" s="39">
        <f t="shared" si="1"/>
        <v>2274.1935483870971</v>
      </c>
      <c r="K21" s="39">
        <f t="shared" si="2"/>
        <v>13112.903225806453</v>
      </c>
      <c r="L21" s="40">
        <v>5</v>
      </c>
      <c r="M21" s="40">
        <v>0</v>
      </c>
      <c r="N21" s="40">
        <v>3000</v>
      </c>
      <c r="O21" s="40">
        <v>0</v>
      </c>
      <c r="P21" s="40">
        <v>103</v>
      </c>
      <c r="Q21" s="43"/>
      <c r="R21" s="39">
        <f t="shared" si="3"/>
        <v>13112.903225806453</v>
      </c>
      <c r="S21" s="39">
        <f t="shared" si="4"/>
        <v>3108</v>
      </c>
      <c r="T21" s="39">
        <f t="shared" si="5"/>
        <v>10004.903225806453</v>
      </c>
    </row>
    <row r="22" spans="1:20" s="46" customFormat="1" ht="20.25" x14ac:dyDescent="0.3">
      <c r="A22" s="33">
        <v>20</v>
      </c>
      <c r="B22" s="34">
        <v>4031</v>
      </c>
      <c r="C22" s="35" t="s">
        <v>350</v>
      </c>
      <c r="D22" s="35" t="s">
        <v>25</v>
      </c>
      <c r="E22" s="35" t="s">
        <v>26</v>
      </c>
      <c r="F22" s="36">
        <v>375000</v>
      </c>
      <c r="G22" s="37">
        <v>31</v>
      </c>
      <c r="H22" s="38"/>
      <c r="I22" s="39">
        <f t="shared" si="0"/>
        <v>375000</v>
      </c>
      <c r="J22" s="39">
        <f t="shared" si="1"/>
        <v>0</v>
      </c>
      <c r="K22" s="39">
        <f t="shared" si="2"/>
        <v>375000</v>
      </c>
      <c r="L22" s="40">
        <v>5</v>
      </c>
      <c r="M22" s="40">
        <v>200</v>
      </c>
      <c r="N22" s="40">
        <v>0</v>
      </c>
      <c r="O22" s="40">
        <v>1800</v>
      </c>
      <c r="P22" s="40">
        <v>0</v>
      </c>
      <c r="Q22" s="43">
        <v>84240</v>
      </c>
      <c r="R22" s="39">
        <f t="shared" si="3"/>
        <v>375000</v>
      </c>
      <c r="S22" s="39">
        <f t="shared" si="4"/>
        <v>86245</v>
      </c>
      <c r="T22" s="39">
        <f t="shared" si="5"/>
        <v>288755</v>
      </c>
    </row>
    <row r="23" spans="1:20" s="46" customFormat="1" ht="20.25" x14ac:dyDescent="0.3">
      <c r="A23" s="33">
        <v>21</v>
      </c>
      <c r="B23" s="34">
        <v>4051</v>
      </c>
      <c r="C23" s="35" t="s">
        <v>388</v>
      </c>
      <c r="D23" s="35" t="s">
        <v>389</v>
      </c>
      <c r="E23" s="35" t="s">
        <v>26</v>
      </c>
      <c r="F23" s="36">
        <v>11800</v>
      </c>
      <c r="G23" s="37">
        <v>20</v>
      </c>
      <c r="H23" s="38">
        <v>193</v>
      </c>
      <c r="I23" s="39">
        <f t="shared" si="0"/>
        <v>7612.9032258064508</v>
      </c>
      <c r="J23" s="39">
        <f t="shared" si="1"/>
        <v>9183.0645161290322</v>
      </c>
      <c r="K23" s="39">
        <f t="shared" si="2"/>
        <v>16795.967741935485</v>
      </c>
      <c r="L23" s="40">
        <v>5</v>
      </c>
      <c r="M23" s="40">
        <v>0</v>
      </c>
      <c r="N23" s="40">
        <v>3000</v>
      </c>
      <c r="O23" s="40">
        <v>0</v>
      </c>
      <c r="P23" s="40">
        <v>73</v>
      </c>
      <c r="Q23" s="43"/>
      <c r="R23" s="39">
        <f t="shared" si="3"/>
        <v>16795.967741935485</v>
      </c>
      <c r="S23" s="39">
        <f t="shared" si="4"/>
        <v>3078</v>
      </c>
      <c r="T23" s="39">
        <f t="shared" si="5"/>
        <v>13717.967741935485</v>
      </c>
    </row>
    <row r="24" spans="1:20" ht="20.25" x14ac:dyDescent="0.3">
      <c r="A24" s="33">
        <v>22</v>
      </c>
      <c r="B24" s="34">
        <v>4064</v>
      </c>
      <c r="C24" s="35" t="s">
        <v>413</v>
      </c>
      <c r="D24" s="35" t="s">
        <v>414</v>
      </c>
      <c r="E24" s="35" t="s">
        <v>26</v>
      </c>
      <c r="F24" s="36">
        <v>11000</v>
      </c>
      <c r="G24" s="37">
        <v>12</v>
      </c>
      <c r="H24" s="38">
        <v>179</v>
      </c>
      <c r="I24" s="39">
        <f t="shared" si="0"/>
        <v>4258.0645161290322</v>
      </c>
      <c r="J24" s="39">
        <f t="shared" si="1"/>
        <v>7939.5161290322576</v>
      </c>
      <c r="K24" s="39">
        <f t="shared" si="2"/>
        <v>12197.58064516129</v>
      </c>
      <c r="L24" s="40">
        <v>5</v>
      </c>
      <c r="M24" s="40">
        <v>0</v>
      </c>
      <c r="N24" s="40">
        <v>1000</v>
      </c>
      <c r="O24" s="40">
        <v>0</v>
      </c>
      <c r="P24" s="40">
        <v>0</v>
      </c>
      <c r="Q24" s="43"/>
      <c r="R24" s="39">
        <f t="shared" si="3"/>
        <v>12197.58064516129</v>
      </c>
      <c r="S24" s="39">
        <f t="shared" si="4"/>
        <v>1005</v>
      </c>
      <c r="T24" s="39">
        <f t="shared" si="5"/>
        <v>11192.58064516129</v>
      </c>
    </row>
    <row r="25" spans="1:20" ht="20.25" x14ac:dyDescent="0.3">
      <c r="A25" s="33">
        <v>23</v>
      </c>
      <c r="B25" s="34">
        <v>1648</v>
      </c>
      <c r="C25" s="35" t="s">
        <v>54</v>
      </c>
      <c r="D25" s="35" t="s">
        <v>55</v>
      </c>
      <c r="E25" s="35" t="s">
        <v>56</v>
      </c>
      <c r="F25" s="36">
        <v>20000</v>
      </c>
      <c r="G25" s="37">
        <v>31</v>
      </c>
      <c r="H25" s="38">
        <v>182.5</v>
      </c>
      <c r="I25" s="39">
        <f t="shared" ref="I25:I35" si="6">F25/31*G25</f>
        <v>20000</v>
      </c>
      <c r="J25" s="39">
        <f t="shared" ref="J25:J35" si="7">F25/31/8*H25</f>
        <v>14717.741935483869</v>
      </c>
      <c r="K25" s="39">
        <f t="shared" ref="K25:K35" si="8">I25+J25</f>
        <v>34717.741935483871</v>
      </c>
      <c r="L25" s="40">
        <v>5</v>
      </c>
      <c r="M25" s="40">
        <v>0</v>
      </c>
      <c r="N25" s="40">
        <v>0</v>
      </c>
      <c r="O25" s="40">
        <v>1800</v>
      </c>
      <c r="P25" s="40">
        <v>133</v>
      </c>
      <c r="Q25" s="43"/>
      <c r="R25" s="39">
        <f t="shared" ref="R25:R35" si="9">K25</f>
        <v>34717.741935483871</v>
      </c>
      <c r="S25" s="39">
        <f t="shared" ref="S25:S35" si="10">L25+M25+N25+O25+P25+Q25</f>
        <v>1938</v>
      </c>
      <c r="T25" s="39">
        <f t="shared" ref="T25:T35" si="11">R25-S25</f>
        <v>32779.741935483871</v>
      </c>
    </row>
    <row r="26" spans="1:20" ht="20.25" x14ac:dyDescent="0.3">
      <c r="A26" s="33">
        <v>24</v>
      </c>
      <c r="B26" s="34">
        <v>2874</v>
      </c>
      <c r="C26" s="35" t="s">
        <v>103</v>
      </c>
      <c r="D26" s="35" t="s">
        <v>104</v>
      </c>
      <c r="E26" s="35" t="s">
        <v>56</v>
      </c>
      <c r="F26" s="36">
        <v>14500</v>
      </c>
      <c r="G26" s="37">
        <v>12</v>
      </c>
      <c r="H26" s="38">
        <v>16</v>
      </c>
      <c r="I26" s="39">
        <f t="shared" si="6"/>
        <v>5612.9032258064517</v>
      </c>
      <c r="J26" s="39">
        <f t="shared" si="7"/>
        <v>935.48387096774195</v>
      </c>
      <c r="K26" s="39">
        <f t="shared" si="8"/>
        <v>6548.3870967741932</v>
      </c>
      <c r="L26" s="40">
        <v>5</v>
      </c>
      <c r="M26" s="40">
        <v>0</v>
      </c>
      <c r="N26" s="40">
        <v>0</v>
      </c>
      <c r="O26" s="40">
        <v>0</v>
      </c>
      <c r="P26" s="40">
        <v>55</v>
      </c>
      <c r="Q26" s="43"/>
      <c r="R26" s="39">
        <f t="shared" si="9"/>
        <v>6548.3870967741932</v>
      </c>
      <c r="S26" s="39">
        <f t="shared" si="10"/>
        <v>60</v>
      </c>
      <c r="T26" s="39">
        <f t="shared" si="11"/>
        <v>6488.3870967741932</v>
      </c>
    </row>
    <row r="27" spans="1:20" ht="21" x14ac:dyDescent="0.3">
      <c r="A27" s="33">
        <v>25</v>
      </c>
      <c r="B27" s="34">
        <v>2968</v>
      </c>
      <c r="C27" s="35" t="s">
        <v>113</v>
      </c>
      <c r="D27" s="35" t="s">
        <v>114</v>
      </c>
      <c r="E27" s="35" t="s">
        <v>56</v>
      </c>
      <c r="F27" s="36">
        <v>15600</v>
      </c>
      <c r="G27" s="37">
        <v>31</v>
      </c>
      <c r="H27" s="38">
        <v>40</v>
      </c>
      <c r="I27" s="39">
        <f t="shared" si="6"/>
        <v>15600</v>
      </c>
      <c r="J27" s="39">
        <f t="shared" si="7"/>
        <v>2516.1290322580644</v>
      </c>
      <c r="K27" s="39">
        <f t="shared" si="8"/>
        <v>18116.129032258064</v>
      </c>
      <c r="L27" s="40">
        <v>5</v>
      </c>
      <c r="M27" s="40">
        <v>0</v>
      </c>
      <c r="N27" s="40">
        <v>0</v>
      </c>
      <c r="O27" s="40">
        <v>0</v>
      </c>
      <c r="P27" s="40">
        <v>114</v>
      </c>
      <c r="Q27" s="47"/>
      <c r="R27" s="39">
        <f t="shared" si="9"/>
        <v>18116.129032258064</v>
      </c>
      <c r="S27" s="39">
        <f t="shared" si="10"/>
        <v>119</v>
      </c>
      <c r="T27" s="39">
        <f t="shared" si="11"/>
        <v>17997.129032258064</v>
      </c>
    </row>
    <row r="28" spans="1:20" ht="20.25" x14ac:dyDescent="0.3">
      <c r="A28" s="33">
        <v>26</v>
      </c>
      <c r="B28" s="34">
        <v>3357</v>
      </c>
      <c r="C28" s="35" t="s">
        <v>133</v>
      </c>
      <c r="D28" s="35" t="s">
        <v>134</v>
      </c>
      <c r="E28" s="35" t="s">
        <v>56</v>
      </c>
      <c r="F28" s="36">
        <v>15600</v>
      </c>
      <c r="G28" s="37">
        <v>31</v>
      </c>
      <c r="H28" s="38">
        <v>40</v>
      </c>
      <c r="I28" s="39">
        <f t="shared" si="6"/>
        <v>15600</v>
      </c>
      <c r="J28" s="39">
        <f t="shared" si="7"/>
        <v>2516.1290322580644</v>
      </c>
      <c r="K28" s="39">
        <f t="shared" si="8"/>
        <v>18116.129032258064</v>
      </c>
      <c r="L28" s="40">
        <v>5</v>
      </c>
      <c r="M28" s="40">
        <v>0</v>
      </c>
      <c r="N28" s="40">
        <v>3000</v>
      </c>
      <c r="O28" s="40">
        <v>0</v>
      </c>
      <c r="P28" s="40">
        <v>114</v>
      </c>
      <c r="Q28" s="43"/>
      <c r="R28" s="39">
        <f t="shared" si="9"/>
        <v>18116.129032258064</v>
      </c>
      <c r="S28" s="39">
        <f t="shared" si="10"/>
        <v>3119</v>
      </c>
      <c r="T28" s="39">
        <f t="shared" si="11"/>
        <v>14997.129032258064</v>
      </c>
    </row>
    <row r="29" spans="1:20" ht="20.25" x14ac:dyDescent="0.3">
      <c r="A29" s="33">
        <v>27</v>
      </c>
      <c r="B29" s="34">
        <v>3642</v>
      </c>
      <c r="C29" s="35" t="s">
        <v>174</v>
      </c>
      <c r="D29" s="35" t="s">
        <v>175</v>
      </c>
      <c r="E29" s="35" t="s">
        <v>56</v>
      </c>
      <c r="F29" s="36">
        <v>17500</v>
      </c>
      <c r="G29" s="37">
        <v>31</v>
      </c>
      <c r="H29" s="38">
        <v>88</v>
      </c>
      <c r="I29" s="39">
        <f t="shared" si="6"/>
        <v>17500</v>
      </c>
      <c r="J29" s="39">
        <f t="shared" si="7"/>
        <v>6209.677419354839</v>
      </c>
      <c r="K29" s="39">
        <f t="shared" si="8"/>
        <v>23709.677419354841</v>
      </c>
      <c r="L29" s="40">
        <v>5</v>
      </c>
      <c r="M29" s="40">
        <v>0</v>
      </c>
      <c r="N29" s="40">
        <v>0</v>
      </c>
      <c r="O29" s="40">
        <v>0</v>
      </c>
      <c r="P29" s="40">
        <v>114</v>
      </c>
      <c r="Q29" s="43"/>
      <c r="R29" s="39">
        <f t="shared" si="9"/>
        <v>23709.677419354841</v>
      </c>
      <c r="S29" s="39">
        <f t="shared" si="10"/>
        <v>119</v>
      </c>
      <c r="T29" s="39">
        <f t="shared" si="11"/>
        <v>23590.677419354841</v>
      </c>
    </row>
    <row r="30" spans="1:20" ht="20.25" x14ac:dyDescent="0.3">
      <c r="A30" s="33">
        <v>28</v>
      </c>
      <c r="B30" s="34">
        <v>3648</v>
      </c>
      <c r="C30" s="35" t="s">
        <v>178</v>
      </c>
      <c r="D30" s="35" t="s">
        <v>179</v>
      </c>
      <c r="E30" s="35" t="s">
        <v>56</v>
      </c>
      <c r="F30" s="36">
        <v>15300</v>
      </c>
      <c r="G30" s="37">
        <v>30</v>
      </c>
      <c r="H30" s="38">
        <v>32</v>
      </c>
      <c r="I30" s="39">
        <f t="shared" si="6"/>
        <v>14806.451612903225</v>
      </c>
      <c r="J30" s="39">
        <f t="shared" si="7"/>
        <v>1974.1935483870968</v>
      </c>
      <c r="K30" s="39">
        <f t="shared" si="8"/>
        <v>16780.645161290322</v>
      </c>
      <c r="L30" s="40">
        <v>5</v>
      </c>
      <c r="M30" s="40">
        <v>0</v>
      </c>
      <c r="N30" s="40">
        <v>3000</v>
      </c>
      <c r="O30" s="40">
        <v>0</v>
      </c>
      <c r="P30" s="40">
        <v>110</v>
      </c>
      <c r="Q30" s="43"/>
      <c r="R30" s="39">
        <f t="shared" si="9"/>
        <v>16780.645161290322</v>
      </c>
      <c r="S30" s="39">
        <f t="shared" si="10"/>
        <v>3115</v>
      </c>
      <c r="T30" s="39">
        <f t="shared" si="11"/>
        <v>13665.645161290322</v>
      </c>
    </row>
    <row r="31" spans="1:20" ht="20.25" x14ac:dyDescent="0.3">
      <c r="A31" s="33">
        <v>29</v>
      </c>
      <c r="B31" s="34">
        <v>3730</v>
      </c>
      <c r="C31" s="35" t="s">
        <v>203</v>
      </c>
      <c r="D31" s="35" t="s">
        <v>204</v>
      </c>
      <c r="E31" s="35" t="s">
        <v>56</v>
      </c>
      <c r="F31" s="36">
        <v>15000</v>
      </c>
      <c r="G31" s="37">
        <v>18</v>
      </c>
      <c r="H31" s="38">
        <v>24</v>
      </c>
      <c r="I31" s="39">
        <f t="shared" si="6"/>
        <v>8709.677419354839</v>
      </c>
      <c r="J31" s="39">
        <f t="shared" si="7"/>
        <v>1451.6129032258063</v>
      </c>
      <c r="K31" s="39">
        <f t="shared" si="8"/>
        <v>10161.290322580646</v>
      </c>
      <c r="L31" s="40">
        <v>5</v>
      </c>
      <c r="M31" s="40">
        <v>0</v>
      </c>
      <c r="N31" s="40">
        <v>2000</v>
      </c>
      <c r="O31" s="40">
        <v>0</v>
      </c>
      <c r="P31" s="40">
        <v>73</v>
      </c>
      <c r="Q31" s="43"/>
      <c r="R31" s="39">
        <f t="shared" si="9"/>
        <v>10161.290322580646</v>
      </c>
      <c r="S31" s="39">
        <f t="shared" si="10"/>
        <v>2078</v>
      </c>
      <c r="T31" s="39">
        <f t="shared" si="11"/>
        <v>8083.2903225806458</v>
      </c>
    </row>
    <row r="32" spans="1:20" ht="20.25" x14ac:dyDescent="0.3">
      <c r="A32" s="33">
        <v>30</v>
      </c>
      <c r="B32" s="34">
        <v>3812</v>
      </c>
      <c r="C32" s="35" t="s">
        <v>223</v>
      </c>
      <c r="D32" s="35" t="s">
        <v>188</v>
      </c>
      <c r="E32" s="35" t="s">
        <v>56</v>
      </c>
      <c r="F32" s="36">
        <v>15000</v>
      </c>
      <c r="G32" s="37">
        <v>30</v>
      </c>
      <c r="H32" s="38">
        <v>32</v>
      </c>
      <c r="I32" s="39">
        <f t="shared" si="6"/>
        <v>14516.129032258064</v>
      </c>
      <c r="J32" s="39">
        <f t="shared" si="7"/>
        <v>1935.483870967742</v>
      </c>
      <c r="K32" s="39">
        <f t="shared" si="8"/>
        <v>16451.612903225807</v>
      </c>
      <c r="L32" s="40">
        <v>5</v>
      </c>
      <c r="M32" s="40">
        <v>0</v>
      </c>
      <c r="N32" s="40">
        <v>3000</v>
      </c>
      <c r="O32" s="40">
        <v>0</v>
      </c>
      <c r="P32" s="40">
        <v>110</v>
      </c>
      <c r="Q32" s="43"/>
      <c r="R32" s="39">
        <f t="shared" si="9"/>
        <v>16451.612903225807</v>
      </c>
      <c r="S32" s="39">
        <f t="shared" si="10"/>
        <v>3115</v>
      </c>
      <c r="T32" s="39">
        <f t="shared" si="11"/>
        <v>13336.612903225807</v>
      </c>
    </row>
    <row r="33" spans="1:20" ht="20.25" x14ac:dyDescent="0.3">
      <c r="A33" s="33">
        <v>31</v>
      </c>
      <c r="B33" s="34">
        <v>3922</v>
      </c>
      <c r="C33" s="35" t="s">
        <v>256</v>
      </c>
      <c r="D33" s="35" t="s">
        <v>257</v>
      </c>
      <c r="E33" s="35" t="s">
        <v>56</v>
      </c>
      <c r="F33" s="36">
        <v>15000</v>
      </c>
      <c r="G33" s="37">
        <v>31</v>
      </c>
      <c r="H33" s="38">
        <v>40</v>
      </c>
      <c r="I33" s="39">
        <f t="shared" si="6"/>
        <v>15000</v>
      </c>
      <c r="J33" s="39">
        <f t="shared" si="7"/>
        <v>2419.3548387096776</v>
      </c>
      <c r="K33" s="39">
        <f t="shared" si="8"/>
        <v>17419.354838709678</v>
      </c>
      <c r="L33" s="40">
        <v>5</v>
      </c>
      <c r="M33" s="40">
        <v>0</v>
      </c>
      <c r="N33" s="40">
        <v>2000</v>
      </c>
      <c r="O33" s="40">
        <v>0</v>
      </c>
      <c r="P33" s="40">
        <v>114</v>
      </c>
      <c r="Q33" s="43"/>
      <c r="R33" s="39">
        <f t="shared" si="9"/>
        <v>17419.354838709678</v>
      </c>
      <c r="S33" s="39">
        <f t="shared" si="10"/>
        <v>2119</v>
      </c>
      <c r="T33" s="39">
        <f t="shared" si="11"/>
        <v>15300.354838709678</v>
      </c>
    </row>
    <row r="34" spans="1:20" ht="20.25" x14ac:dyDescent="0.3">
      <c r="A34" s="33">
        <v>32</v>
      </c>
      <c r="B34" s="34">
        <v>3994</v>
      </c>
      <c r="C34" s="35" t="s">
        <v>309</v>
      </c>
      <c r="D34" s="35" t="s">
        <v>310</v>
      </c>
      <c r="E34" s="35" t="s">
        <v>56</v>
      </c>
      <c r="F34" s="36">
        <v>15000</v>
      </c>
      <c r="G34" s="37">
        <v>31</v>
      </c>
      <c r="H34" s="38">
        <v>32</v>
      </c>
      <c r="I34" s="39">
        <f t="shared" si="6"/>
        <v>15000</v>
      </c>
      <c r="J34" s="39">
        <f t="shared" si="7"/>
        <v>1935.483870967742</v>
      </c>
      <c r="K34" s="39">
        <f t="shared" si="8"/>
        <v>16935.483870967742</v>
      </c>
      <c r="L34" s="40">
        <v>5</v>
      </c>
      <c r="M34" s="40">
        <v>0</v>
      </c>
      <c r="N34" s="40">
        <v>0</v>
      </c>
      <c r="O34" s="40">
        <v>0</v>
      </c>
      <c r="P34" s="40">
        <v>114</v>
      </c>
      <c r="Q34" s="43"/>
      <c r="R34" s="39">
        <f t="shared" si="9"/>
        <v>16935.483870967742</v>
      </c>
      <c r="S34" s="39">
        <f t="shared" si="10"/>
        <v>119</v>
      </c>
      <c r="T34" s="39">
        <f t="shared" si="11"/>
        <v>16816.483870967742</v>
      </c>
    </row>
    <row r="35" spans="1:20" ht="20.25" x14ac:dyDescent="0.3">
      <c r="A35" s="33">
        <v>33</v>
      </c>
      <c r="B35" s="34">
        <v>4023</v>
      </c>
      <c r="C35" s="35" t="s">
        <v>341</v>
      </c>
      <c r="D35" s="35" t="s">
        <v>204</v>
      </c>
      <c r="E35" s="35" t="s">
        <v>56</v>
      </c>
      <c r="F35" s="36">
        <v>14500</v>
      </c>
      <c r="G35" s="37">
        <v>5</v>
      </c>
      <c r="H35" s="38">
        <v>8</v>
      </c>
      <c r="I35" s="39">
        <f t="shared" si="6"/>
        <v>2338.7096774193551</v>
      </c>
      <c r="J35" s="39">
        <f t="shared" si="7"/>
        <v>467.74193548387098</v>
      </c>
      <c r="K35" s="39">
        <f t="shared" si="8"/>
        <v>2806.4516129032263</v>
      </c>
      <c r="L35" s="40">
        <v>5</v>
      </c>
      <c r="M35" s="40">
        <v>0</v>
      </c>
      <c r="N35" s="40">
        <v>0</v>
      </c>
      <c r="O35" s="40">
        <v>0</v>
      </c>
      <c r="P35" s="40">
        <v>33</v>
      </c>
      <c r="Q35" s="43"/>
      <c r="R35" s="39">
        <f t="shared" si="9"/>
        <v>2806.4516129032263</v>
      </c>
      <c r="S35" s="39">
        <f t="shared" si="10"/>
        <v>38</v>
      </c>
      <c r="T35" s="39">
        <f t="shared" si="11"/>
        <v>2768.4516129032263</v>
      </c>
    </row>
    <row r="36" spans="1:20" ht="20.25" x14ac:dyDescent="0.25">
      <c r="C36" s="48"/>
      <c r="D36" s="48"/>
      <c r="E36" s="48"/>
      <c r="F36" s="49">
        <f t="shared" ref="F36:T36" si="12">SUM(F3:F35)</f>
        <v>1286725</v>
      </c>
      <c r="G36" s="49">
        <f t="shared" si="12"/>
        <v>852.5</v>
      </c>
      <c r="H36" s="49">
        <f t="shared" si="12"/>
        <v>1615</v>
      </c>
      <c r="I36" s="49">
        <f t="shared" si="12"/>
        <v>1210494.35483871</v>
      </c>
      <c r="J36" s="49">
        <f t="shared" si="12"/>
        <v>92918.749999999971</v>
      </c>
      <c r="K36" s="49">
        <f t="shared" si="12"/>
        <v>1303413.1048387098</v>
      </c>
      <c r="L36" s="49">
        <f t="shared" si="12"/>
        <v>165</v>
      </c>
      <c r="M36" s="49">
        <f t="shared" si="12"/>
        <v>800</v>
      </c>
      <c r="N36" s="49">
        <f t="shared" si="12"/>
        <v>37000</v>
      </c>
      <c r="O36" s="49">
        <f t="shared" si="12"/>
        <v>10389</v>
      </c>
      <c r="P36" s="49">
        <f t="shared" si="12"/>
        <v>2651</v>
      </c>
      <c r="Q36" s="49">
        <f t="shared" si="12"/>
        <v>168480</v>
      </c>
      <c r="R36" s="49">
        <f t="shared" si="12"/>
        <v>1303413.1048387098</v>
      </c>
      <c r="S36" s="49">
        <f t="shared" si="12"/>
        <v>219485</v>
      </c>
      <c r="T36" s="49">
        <f t="shared" si="12"/>
        <v>1083928.1048387093</v>
      </c>
    </row>
  </sheetData>
  <sortState ref="A2:T67">
    <sortCondition ref="E1"/>
  </sortState>
  <mergeCells count="1">
    <mergeCell ref="A1:T1"/>
  </mergeCells>
  <pageMargins left="0" right="0" top="0" bottom="0" header="0" footer="0"/>
  <pageSetup paperSize="9" scale="8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3"/>
  <sheetViews>
    <sheetView zoomScale="70" zoomScaleNormal="70" workbookViewId="0">
      <pane ySplit="1" topLeftCell="A113" activePane="bottomLeft" state="frozen"/>
      <selection pane="bottomLeft" activeCell="C141" sqref="C141"/>
    </sheetView>
  </sheetViews>
  <sheetFormatPr defaultRowHeight="18" x14ac:dyDescent="0.25"/>
  <cols>
    <col min="1" max="1" width="8.140625" style="63" bestFit="1" customWidth="1"/>
    <col min="2" max="2" width="10.7109375" style="51" bestFit="1" customWidth="1"/>
    <col min="3" max="4" width="43.28515625" style="51" bestFit="1" customWidth="1"/>
    <col min="5" max="5" width="34.5703125" style="51" bestFit="1" customWidth="1"/>
    <col min="6" max="6" width="17.140625" style="74" bestFit="1" customWidth="1"/>
    <col min="7" max="7" width="8.85546875" style="74" bestFit="1" customWidth="1"/>
    <col min="8" max="8" width="9.85546875" style="74" bestFit="1" customWidth="1"/>
    <col min="9" max="9" width="22" style="74" bestFit="1" customWidth="1"/>
    <col min="10" max="10" width="18.28515625" style="74" bestFit="1" customWidth="1"/>
    <col min="11" max="11" width="13.85546875" style="74" bestFit="1" customWidth="1"/>
    <col min="12" max="12" width="10" style="74" bestFit="1" customWidth="1"/>
    <col min="13" max="13" width="18.28515625" style="74" bestFit="1" customWidth="1"/>
    <col min="14" max="14" width="13.7109375" style="74" bestFit="1" customWidth="1"/>
    <col min="15" max="16" width="9.85546875" style="74" bestFit="1" customWidth="1"/>
    <col min="17" max="17" width="11.42578125" style="74" bestFit="1" customWidth="1"/>
    <col min="18" max="18" width="20.140625" style="74" bestFit="1" customWidth="1"/>
    <col min="19" max="19" width="23.42578125" style="74" bestFit="1" customWidth="1"/>
    <col min="20" max="20" width="17.5703125" style="74" bestFit="1" customWidth="1"/>
    <col min="21" max="259" width="9.140625" style="51" customWidth="1"/>
    <col min="260" max="16384" width="9.140625" style="51"/>
  </cols>
  <sheetData>
    <row r="1" spans="1:20" ht="35.25" x14ac:dyDescent="0.25">
      <c r="A1" s="111" t="s">
        <v>23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3"/>
    </row>
    <row r="2" spans="1:20" x14ac:dyDescent="0.25">
      <c r="A2" s="52" t="s">
        <v>22</v>
      </c>
      <c r="B2" s="52" t="s">
        <v>0</v>
      </c>
      <c r="C2" s="52" t="s">
        <v>1</v>
      </c>
      <c r="D2" s="52" t="s">
        <v>12</v>
      </c>
      <c r="E2" s="52" t="s">
        <v>11</v>
      </c>
      <c r="F2" s="53" t="s">
        <v>2</v>
      </c>
      <c r="G2" s="53" t="s">
        <v>14</v>
      </c>
      <c r="H2" s="53" t="s">
        <v>15</v>
      </c>
      <c r="I2" s="53" t="s">
        <v>16</v>
      </c>
      <c r="J2" s="53" t="s">
        <v>17</v>
      </c>
      <c r="K2" s="53" t="s">
        <v>13</v>
      </c>
      <c r="L2" s="53" t="s">
        <v>3</v>
      </c>
      <c r="M2" s="53" t="s">
        <v>19</v>
      </c>
      <c r="N2" s="53" t="s">
        <v>4</v>
      </c>
      <c r="O2" s="53" t="s">
        <v>5</v>
      </c>
      <c r="P2" s="53" t="s">
        <v>6</v>
      </c>
      <c r="Q2" s="54" t="s">
        <v>7</v>
      </c>
      <c r="R2" s="53" t="s">
        <v>8</v>
      </c>
      <c r="S2" s="53" t="s">
        <v>9</v>
      </c>
      <c r="T2" s="53" t="s">
        <v>10</v>
      </c>
    </row>
    <row r="3" spans="1:20" x14ac:dyDescent="0.25">
      <c r="A3" s="55">
        <v>1</v>
      </c>
      <c r="B3" s="56">
        <v>2026</v>
      </c>
      <c r="C3" s="57" t="s">
        <v>65</v>
      </c>
      <c r="D3" s="57" t="s">
        <v>66</v>
      </c>
      <c r="E3" s="57" t="s">
        <v>67</v>
      </c>
      <c r="F3" s="58">
        <v>15000</v>
      </c>
      <c r="G3" s="59">
        <v>20</v>
      </c>
      <c r="H3" s="60">
        <v>51</v>
      </c>
      <c r="I3" s="61">
        <f t="shared" ref="I3:I40" si="0">F3/31*G3</f>
        <v>9677.4193548387102</v>
      </c>
      <c r="J3" s="61">
        <f t="shared" ref="J3:J40" si="1">F3/31/8*H3</f>
        <v>3084.6774193548385</v>
      </c>
      <c r="K3" s="61">
        <f t="shared" ref="K3:K36" si="2">I3+J3</f>
        <v>12762.096774193549</v>
      </c>
      <c r="L3" s="62">
        <v>5</v>
      </c>
      <c r="M3" s="62">
        <v>0</v>
      </c>
      <c r="N3" s="62">
        <v>0</v>
      </c>
      <c r="O3" s="62">
        <v>0</v>
      </c>
      <c r="P3" s="62">
        <v>81</v>
      </c>
      <c r="Q3" s="64"/>
      <c r="R3" s="61">
        <f t="shared" ref="R3:R40" si="3">K3</f>
        <v>12762.096774193549</v>
      </c>
      <c r="S3" s="61">
        <f t="shared" ref="S3:S40" si="4">L3+M3+N3+O3+P3+Q3</f>
        <v>86</v>
      </c>
      <c r="T3" s="61">
        <f t="shared" ref="T3:T40" si="5">R3-S3</f>
        <v>12676.096774193549</v>
      </c>
    </row>
    <row r="4" spans="1:20" x14ac:dyDescent="0.25">
      <c r="A4" s="55">
        <v>3</v>
      </c>
      <c r="B4" s="56">
        <v>4040</v>
      </c>
      <c r="C4" s="57" t="s">
        <v>367</v>
      </c>
      <c r="D4" s="57" t="s">
        <v>368</v>
      </c>
      <c r="E4" s="57" t="s">
        <v>67</v>
      </c>
      <c r="F4" s="58">
        <v>9500</v>
      </c>
      <c r="G4" s="59">
        <v>27</v>
      </c>
      <c r="H4" s="60">
        <v>58.5</v>
      </c>
      <c r="I4" s="61">
        <f t="shared" si="0"/>
        <v>8274.1935483870966</v>
      </c>
      <c r="J4" s="61">
        <f t="shared" si="1"/>
        <v>2240.9274193548385</v>
      </c>
      <c r="K4" s="61">
        <f t="shared" si="2"/>
        <v>10515.120967741936</v>
      </c>
      <c r="L4" s="62">
        <v>5</v>
      </c>
      <c r="M4" s="62">
        <v>0</v>
      </c>
      <c r="N4" s="62">
        <v>2000</v>
      </c>
      <c r="O4" s="62">
        <v>0</v>
      </c>
      <c r="P4" s="62">
        <v>99</v>
      </c>
      <c r="Q4" s="64"/>
      <c r="R4" s="61">
        <f t="shared" si="3"/>
        <v>10515.120967741936</v>
      </c>
      <c r="S4" s="61">
        <f t="shared" si="4"/>
        <v>2104</v>
      </c>
      <c r="T4" s="61">
        <f t="shared" si="5"/>
        <v>8411.1209677419356</v>
      </c>
    </row>
    <row r="5" spans="1:20" x14ac:dyDescent="0.25">
      <c r="A5" s="55">
        <v>4</v>
      </c>
      <c r="B5" s="56">
        <v>4047</v>
      </c>
      <c r="C5" s="57" t="s">
        <v>380</v>
      </c>
      <c r="D5" s="57" t="s">
        <v>381</v>
      </c>
      <c r="E5" s="57" t="s">
        <v>67</v>
      </c>
      <c r="F5" s="58">
        <v>9500</v>
      </c>
      <c r="G5" s="59">
        <v>20</v>
      </c>
      <c r="H5" s="60">
        <v>163</v>
      </c>
      <c r="I5" s="61">
        <f t="shared" si="0"/>
        <v>6129.0322580645161</v>
      </c>
      <c r="J5" s="61">
        <f t="shared" si="1"/>
        <v>6243.9516129032254</v>
      </c>
      <c r="K5" s="61">
        <f t="shared" si="2"/>
        <v>12372.983870967742</v>
      </c>
      <c r="L5" s="62">
        <v>5</v>
      </c>
      <c r="M5" s="62">
        <v>0</v>
      </c>
      <c r="N5" s="62">
        <v>2500</v>
      </c>
      <c r="O5" s="62">
        <v>0</v>
      </c>
      <c r="P5" s="62">
        <v>73</v>
      </c>
      <c r="Q5" s="64"/>
      <c r="R5" s="61">
        <f t="shared" si="3"/>
        <v>12372.983870967742</v>
      </c>
      <c r="S5" s="61">
        <f t="shared" si="4"/>
        <v>2578</v>
      </c>
      <c r="T5" s="61">
        <f t="shared" si="5"/>
        <v>9794.9838709677424</v>
      </c>
    </row>
    <row r="6" spans="1:20" x14ac:dyDescent="0.25">
      <c r="A6" s="55">
        <v>5</v>
      </c>
      <c r="B6" s="56">
        <v>3308</v>
      </c>
      <c r="C6" s="57" t="s">
        <v>124</v>
      </c>
      <c r="D6" s="57" t="s">
        <v>125</v>
      </c>
      <c r="E6" s="57" t="s">
        <v>126</v>
      </c>
      <c r="F6" s="58">
        <v>12500</v>
      </c>
      <c r="G6" s="59">
        <v>11</v>
      </c>
      <c r="H6" s="60">
        <v>87.5</v>
      </c>
      <c r="I6" s="61">
        <f t="shared" si="0"/>
        <v>4435.4838709677424</v>
      </c>
      <c r="J6" s="61">
        <f t="shared" si="1"/>
        <v>4410.2822580645161</v>
      </c>
      <c r="K6" s="61">
        <f t="shared" si="2"/>
        <v>8845.7661290322576</v>
      </c>
      <c r="L6" s="62">
        <v>5</v>
      </c>
      <c r="M6" s="62">
        <v>0</v>
      </c>
      <c r="N6" s="62">
        <v>0</v>
      </c>
      <c r="O6" s="62">
        <v>0</v>
      </c>
      <c r="P6" s="62">
        <v>52</v>
      </c>
      <c r="Q6" s="64"/>
      <c r="R6" s="61">
        <f t="shared" si="3"/>
        <v>8845.7661290322576</v>
      </c>
      <c r="S6" s="61">
        <f t="shared" si="4"/>
        <v>57</v>
      </c>
      <c r="T6" s="61">
        <f t="shared" si="5"/>
        <v>8788.7661290322576</v>
      </c>
    </row>
    <row r="7" spans="1:20" x14ac:dyDescent="0.25">
      <c r="A7" s="55">
        <v>6</v>
      </c>
      <c r="B7" s="56">
        <v>3630</v>
      </c>
      <c r="C7" s="57" t="s">
        <v>164</v>
      </c>
      <c r="D7" s="57" t="s">
        <v>165</v>
      </c>
      <c r="E7" s="57" t="s">
        <v>126</v>
      </c>
      <c r="F7" s="58">
        <v>14000</v>
      </c>
      <c r="G7" s="59">
        <v>30</v>
      </c>
      <c r="H7" s="60">
        <v>233</v>
      </c>
      <c r="I7" s="61">
        <f t="shared" si="0"/>
        <v>13548.387096774193</v>
      </c>
      <c r="J7" s="61">
        <f t="shared" si="1"/>
        <v>13153.225806451614</v>
      </c>
      <c r="K7" s="61">
        <f t="shared" si="2"/>
        <v>26701.612903225807</v>
      </c>
      <c r="L7" s="62">
        <v>5</v>
      </c>
      <c r="M7" s="62">
        <v>0</v>
      </c>
      <c r="N7" s="62">
        <v>0</v>
      </c>
      <c r="O7" s="62">
        <v>0</v>
      </c>
      <c r="P7" s="62">
        <v>110</v>
      </c>
      <c r="Q7" s="64"/>
      <c r="R7" s="61">
        <f t="shared" si="3"/>
        <v>26701.612903225807</v>
      </c>
      <c r="S7" s="61">
        <f t="shared" si="4"/>
        <v>115</v>
      </c>
      <c r="T7" s="61">
        <f t="shared" si="5"/>
        <v>26586.612903225807</v>
      </c>
    </row>
    <row r="8" spans="1:20" x14ac:dyDescent="0.25">
      <c r="A8" s="55">
        <v>7</v>
      </c>
      <c r="B8" s="56">
        <v>3772</v>
      </c>
      <c r="C8" s="57" t="s">
        <v>211</v>
      </c>
      <c r="D8" s="57" t="s">
        <v>212</v>
      </c>
      <c r="E8" s="57" t="s">
        <v>126</v>
      </c>
      <c r="F8" s="58">
        <v>11000</v>
      </c>
      <c r="G8" s="59">
        <v>10</v>
      </c>
      <c r="H8" s="60">
        <v>30.5</v>
      </c>
      <c r="I8" s="61">
        <f t="shared" si="0"/>
        <v>3548.3870967741932</v>
      </c>
      <c r="J8" s="61">
        <f t="shared" si="1"/>
        <v>1352.8225806451612</v>
      </c>
      <c r="K8" s="61">
        <f t="shared" si="2"/>
        <v>4901.2096774193542</v>
      </c>
      <c r="L8" s="62">
        <v>5</v>
      </c>
      <c r="M8" s="62">
        <v>0</v>
      </c>
      <c r="N8" s="62">
        <v>0</v>
      </c>
      <c r="O8" s="62">
        <v>0</v>
      </c>
      <c r="P8" s="62">
        <v>52</v>
      </c>
      <c r="Q8" s="64"/>
      <c r="R8" s="61">
        <f t="shared" si="3"/>
        <v>4901.2096774193542</v>
      </c>
      <c r="S8" s="61">
        <f t="shared" si="4"/>
        <v>57</v>
      </c>
      <c r="T8" s="61">
        <f t="shared" si="5"/>
        <v>4844.2096774193542</v>
      </c>
    </row>
    <row r="9" spans="1:20" x14ac:dyDescent="0.25">
      <c r="A9" s="55">
        <v>8</v>
      </c>
      <c r="B9" s="56">
        <v>3805</v>
      </c>
      <c r="C9" s="57" t="s">
        <v>221</v>
      </c>
      <c r="D9" s="57" t="s">
        <v>222</v>
      </c>
      <c r="E9" s="57" t="s">
        <v>126</v>
      </c>
      <c r="F9" s="58">
        <v>10500</v>
      </c>
      <c r="G9" s="59">
        <v>25</v>
      </c>
      <c r="H9" s="60">
        <v>80</v>
      </c>
      <c r="I9" s="61">
        <f t="shared" si="0"/>
        <v>8467.7419354838712</v>
      </c>
      <c r="J9" s="61">
        <f t="shared" si="1"/>
        <v>3387.0967741935483</v>
      </c>
      <c r="K9" s="61">
        <f t="shared" si="2"/>
        <v>11854.83870967742</v>
      </c>
      <c r="L9" s="62">
        <v>5</v>
      </c>
      <c r="M9" s="62">
        <v>0</v>
      </c>
      <c r="N9" s="62">
        <v>2000</v>
      </c>
      <c r="O9" s="62">
        <v>0</v>
      </c>
      <c r="P9" s="62">
        <v>95</v>
      </c>
      <c r="Q9" s="64"/>
      <c r="R9" s="61">
        <f t="shared" si="3"/>
        <v>11854.83870967742</v>
      </c>
      <c r="S9" s="61">
        <f t="shared" si="4"/>
        <v>2100</v>
      </c>
      <c r="T9" s="61">
        <f t="shared" si="5"/>
        <v>9754.8387096774204</v>
      </c>
    </row>
    <row r="10" spans="1:20" x14ac:dyDescent="0.25">
      <c r="A10" s="55">
        <v>10</v>
      </c>
      <c r="B10" s="56">
        <v>3837</v>
      </c>
      <c r="C10" s="57" t="s">
        <v>233</v>
      </c>
      <c r="D10" s="57" t="s">
        <v>234</v>
      </c>
      <c r="E10" s="57" t="s">
        <v>126</v>
      </c>
      <c r="F10" s="58">
        <v>12500</v>
      </c>
      <c r="G10" s="59">
        <v>20</v>
      </c>
      <c r="H10" s="60">
        <v>104</v>
      </c>
      <c r="I10" s="61">
        <f t="shared" si="0"/>
        <v>8064.5161290322585</v>
      </c>
      <c r="J10" s="61">
        <f t="shared" si="1"/>
        <v>5241.9354838709678</v>
      </c>
      <c r="K10" s="61">
        <f t="shared" si="2"/>
        <v>13306.451612903227</v>
      </c>
      <c r="L10" s="62">
        <v>5</v>
      </c>
      <c r="M10" s="62">
        <v>0</v>
      </c>
      <c r="N10" s="62">
        <v>0</v>
      </c>
      <c r="O10" s="62">
        <v>0</v>
      </c>
      <c r="P10" s="62">
        <v>81</v>
      </c>
      <c r="Q10" s="64"/>
      <c r="R10" s="61">
        <f t="shared" si="3"/>
        <v>13306.451612903227</v>
      </c>
      <c r="S10" s="61">
        <f t="shared" si="4"/>
        <v>86</v>
      </c>
      <c r="T10" s="61">
        <f t="shared" si="5"/>
        <v>13220.451612903227</v>
      </c>
    </row>
    <row r="11" spans="1:20" x14ac:dyDescent="0.25">
      <c r="A11" s="55">
        <v>11</v>
      </c>
      <c r="B11" s="56">
        <v>3933</v>
      </c>
      <c r="C11" s="57" t="s">
        <v>265</v>
      </c>
      <c r="D11" s="57" t="s">
        <v>266</v>
      </c>
      <c r="E11" s="57" t="s">
        <v>126</v>
      </c>
      <c r="F11" s="58">
        <v>10000</v>
      </c>
      <c r="G11" s="59">
        <v>31</v>
      </c>
      <c r="H11" s="60">
        <v>104</v>
      </c>
      <c r="I11" s="61">
        <f t="shared" si="0"/>
        <v>10000</v>
      </c>
      <c r="J11" s="61">
        <f t="shared" si="1"/>
        <v>4193.5483870967737</v>
      </c>
      <c r="K11" s="61">
        <f t="shared" si="2"/>
        <v>14193.548387096773</v>
      </c>
      <c r="L11" s="62">
        <v>5</v>
      </c>
      <c r="M11" s="62">
        <v>0</v>
      </c>
      <c r="N11" s="62">
        <v>2500</v>
      </c>
      <c r="O11" s="62">
        <v>0</v>
      </c>
      <c r="P11" s="62">
        <v>114</v>
      </c>
      <c r="Q11" s="64"/>
      <c r="R11" s="61">
        <f t="shared" si="3"/>
        <v>14193.548387096773</v>
      </c>
      <c r="S11" s="61">
        <f t="shared" si="4"/>
        <v>2619</v>
      </c>
      <c r="T11" s="61">
        <f t="shared" si="5"/>
        <v>11574.548387096773</v>
      </c>
    </row>
    <row r="12" spans="1:20" x14ac:dyDescent="0.25">
      <c r="A12" s="55">
        <v>12</v>
      </c>
      <c r="B12" s="56">
        <v>3947</v>
      </c>
      <c r="C12" s="57" t="s">
        <v>277</v>
      </c>
      <c r="D12" s="57" t="s">
        <v>278</v>
      </c>
      <c r="E12" s="57" t="s">
        <v>126</v>
      </c>
      <c r="F12" s="58">
        <v>12000</v>
      </c>
      <c r="G12" s="59">
        <v>27</v>
      </c>
      <c r="H12" s="60">
        <v>81.5</v>
      </c>
      <c r="I12" s="61">
        <f t="shared" si="0"/>
        <v>10451.612903225807</v>
      </c>
      <c r="J12" s="61">
        <f t="shared" si="1"/>
        <v>3943.5483870967746</v>
      </c>
      <c r="K12" s="61">
        <f t="shared" si="2"/>
        <v>14395.161290322581</v>
      </c>
      <c r="L12" s="62">
        <v>5</v>
      </c>
      <c r="M12" s="62">
        <v>0</v>
      </c>
      <c r="N12" s="62">
        <v>800</v>
      </c>
      <c r="O12" s="62">
        <v>0</v>
      </c>
      <c r="P12" s="62">
        <v>103</v>
      </c>
      <c r="Q12" s="64"/>
      <c r="R12" s="61">
        <f t="shared" si="3"/>
        <v>14395.161290322581</v>
      </c>
      <c r="S12" s="61">
        <f t="shared" si="4"/>
        <v>908</v>
      </c>
      <c r="T12" s="61">
        <f t="shared" si="5"/>
        <v>13487.161290322581</v>
      </c>
    </row>
    <row r="13" spans="1:20" x14ac:dyDescent="0.25">
      <c r="A13" s="55">
        <v>13</v>
      </c>
      <c r="B13" s="56">
        <v>3974</v>
      </c>
      <c r="C13" s="57" t="s">
        <v>292</v>
      </c>
      <c r="D13" s="57" t="s">
        <v>293</v>
      </c>
      <c r="E13" s="57" t="s">
        <v>126</v>
      </c>
      <c r="F13" s="58">
        <v>11700</v>
      </c>
      <c r="G13" s="59">
        <v>23</v>
      </c>
      <c r="H13" s="60">
        <v>121</v>
      </c>
      <c r="I13" s="61">
        <f t="shared" si="0"/>
        <v>8680.6451612903238</v>
      </c>
      <c r="J13" s="61">
        <f t="shared" si="1"/>
        <v>5708.4677419354839</v>
      </c>
      <c r="K13" s="61">
        <f t="shared" si="2"/>
        <v>14389.112903225807</v>
      </c>
      <c r="L13" s="62">
        <v>5</v>
      </c>
      <c r="M13" s="62">
        <v>0</v>
      </c>
      <c r="N13" s="62">
        <v>2500</v>
      </c>
      <c r="O13" s="62">
        <v>0</v>
      </c>
      <c r="P13" s="62">
        <v>88</v>
      </c>
      <c r="Q13" s="64"/>
      <c r="R13" s="61">
        <f t="shared" si="3"/>
        <v>14389.112903225807</v>
      </c>
      <c r="S13" s="61">
        <f t="shared" si="4"/>
        <v>2593</v>
      </c>
      <c r="T13" s="61">
        <f t="shared" si="5"/>
        <v>11796.112903225807</v>
      </c>
    </row>
    <row r="14" spans="1:20" x14ac:dyDescent="0.25">
      <c r="A14" s="55">
        <v>14</v>
      </c>
      <c r="B14" s="56">
        <v>4016</v>
      </c>
      <c r="C14" s="57" t="s">
        <v>329</v>
      </c>
      <c r="D14" s="57" t="s">
        <v>330</v>
      </c>
      <c r="E14" s="57" t="s">
        <v>126</v>
      </c>
      <c r="F14" s="58">
        <v>11500</v>
      </c>
      <c r="G14" s="59">
        <v>28</v>
      </c>
      <c r="H14" s="60">
        <v>128</v>
      </c>
      <c r="I14" s="61">
        <f t="shared" si="0"/>
        <v>10387.096774193547</v>
      </c>
      <c r="J14" s="61">
        <f t="shared" si="1"/>
        <v>5935.4838709677415</v>
      </c>
      <c r="K14" s="61">
        <f t="shared" si="2"/>
        <v>16322.580645161288</v>
      </c>
      <c r="L14" s="62">
        <v>5</v>
      </c>
      <c r="M14" s="62">
        <v>0</v>
      </c>
      <c r="N14" s="62">
        <v>2500</v>
      </c>
      <c r="O14" s="62">
        <v>0</v>
      </c>
      <c r="P14" s="62">
        <v>0</v>
      </c>
      <c r="Q14" s="64"/>
      <c r="R14" s="61">
        <f t="shared" si="3"/>
        <v>16322.580645161288</v>
      </c>
      <c r="S14" s="61">
        <f t="shared" si="4"/>
        <v>2505</v>
      </c>
      <c r="T14" s="61">
        <f t="shared" si="5"/>
        <v>13817.580645161288</v>
      </c>
    </row>
    <row r="15" spans="1:20" x14ac:dyDescent="0.25">
      <c r="A15" s="55">
        <v>15</v>
      </c>
      <c r="B15" s="56">
        <v>4027</v>
      </c>
      <c r="C15" s="57" t="s">
        <v>346</v>
      </c>
      <c r="D15" s="57" t="s">
        <v>281</v>
      </c>
      <c r="E15" s="57" t="s">
        <v>126</v>
      </c>
      <c r="F15" s="58">
        <v>11500</v>
      </c>
      <c r="G15" s="59">
        <v>29</v>
      </c>
      <c r="H15" s="60">
        <v>90.5</v>
      </c>
      <c r="I15" s="61">
        <f t="shared" si="0"/>
        <v>10758.064516129032</v>
      </c>
      <c r="J15" s="61">
        <f t="shared" si="1"/>
        <v>4196.572580645161</v>
      </c>
      <c r="K15" s="61">
        <f t="shared" si="2"/>
        <v>14954.637096774193</v>
      </c>
      <c r="L15" s="62">
        <v>5</v>
      </c>
      <c r="M15" s="62">
        <v>0</v>
      </c>
      <c r="N15" s="62">
        <v>2500</v>
      </c>
      <c r="O15" s="62">
        <v>0</v>
      </c>
      <c r="P15" s="62">
        <v>106</v>
      </c>
      <c r="Q15" s="64"/>
      <c r="R15" s="61">
        <f t="shared" si="3"/>
        <v>14954.637096774193</v>
      </c>
      <c r="S15" s="61">
        <f t="shared" si="4"/>
        <v>2611</v>
      </c>
      <c r="T15" s="61">
        <f t="shared" si="5"/>
        <v>12343.637096774193</v>
      </c>
    </row>
    <row r="16" spans="1:20" x14ac:dyDescent="0.25">
      <c r="A16" s="55">
        <v>16</v>
      </c>
      <c r="B16" s="56">
        <v>4038</v>
      </c>
      <c r="C16" s="57" t="s">
        <v>363</v>
      </c>
      <c r="D16" s="57" t="s">
        <v>364</v>
      </c>
      <c r="E16" s="57" t="s">
        <v>126</v>
      </c>
      <c r="F16" s="58">
        <v>12000</v>
      </c>
      <c r="G16" s="59">
        <v>30</v>
      </c>
      <c r="H16" s="60">
        <v>176.5</v>
      </c>
      <c r="I16" s="61">
        <f t="shared" si="0"/>
        <v>11612.903225806453</v>
      </c>
      <c r="J16" s="61">
        <f t="shared" si="1"/>
        <v>8540.322580645161</v>
      </c>
      <c r="K16" s="61">
        <f t="shared" si="2"/>
        <v>20153.225806451614</v>
      </c>
      <c r="L16" s="62">
        <v>5</v>
      </c>
      <c r="M16" s="62">
        <v>0</v>
      </c>
      <c r="N16" s="62">
        <v>4000</v>
      </c>
      <c r="O16" s="62">
        <v>0</v>
      </c>
      <c r="P16" s="62">
        <v>110</v>
      </c>
      <c r="Q16" s="64"/>
      <c r="R16" s="61">
        <f t="shared" si="3"/>
        <v>20153.225806451614</v>
      </c>
      <c r="S16" s="61">
        <f t="shared" si="4"/>
        <v>4115</v>
      </c>
      <c r="T16" s="61">
        <f t="shared" si="5"/>
        <v>16038.225806451614</v>
      </c>
    </row>
    <row r="17" spans="1:20" x14ac:dyDescent="0.25">
      <c r="A17" s="55">
        <v>17</v>
      </c>
      <c r="B17" s="56">
        <v>4053</v>
      </c>
      <c r="C17" s="57" t="s">
        <v>392</v>
      </c>
      <c r="D17" s="57" t="s">
        <v>393</v>
      </c>
      <c r="E17" s="57" t="s">
        <v>126</v>
      </c>
      <c r="F17" s="58">
        <v>11500</v>
      </c>
      <c r="G17" s="59">
        <v>19</v>
      </c>
      <c r="H17" s="60">
        <v>196</v>
      </c>
      <c r="I17" s="61">
        <f t="shared" si="0"/>
        <v>7048.3870967741932</v>
      </c>
      <c r="J17" s="61">
        <f t="shared" si="1"/>
        <v>9088.7096774193542</v>
      </c>
      <c r="K17" s="61">
        <f t="shared" si="2"/>
        <v>16137.096774193547</v>
      </c>
      <c r="L17" s="62">
        <v>5</v>
      </c>
      <c r="M17" s="62">
        <v>0</v>
      </c>
      <c r="N17" s="62">
        <v>3000</v>
      </c>
      <c r="O17" s="62">
        <v>0</v>
      </c>
      <c r="P17" s="62">
        <v>70</v>
      </c>
      <c r="Q17" s="64"/>
      <c r="R17" s="61">
        <f t="shared" si="3"/>
        <v>16137.096774193547</v>
      </c>
      <c r="S17" s="61">
        <f t="shared" si="4"/>
        <v>3075</v>
      </c>
      <c r="T17" s="61">
        <f t="shared" si="5"/>
        <v>13062.096774193547</v>
      </c>
    </row>
    <row r="18" spans="1:20" x14ac:dyDescent="0.25">
      <c r="A18" s="55">
        <v>18</v>
      </c>
      <c r="B18" s="56">
        <v>4054</v>
      </c>
      <c r="C18" s="57" t="s">
        <v>394</v>
      </c>
      <c r="D18" s="57" t="s">
        <v>395</v>
      </c>
      <c r="E18" s="57" t="s">
        <v>126</v>
      </c>
      <c r="F18" s="58">
        <v>11500</v>
      </c>
      <c r="G18" s="59">
        <v>19</v>
      </c>
      <c r="H18" s="60">
        <v>188</v>
      </c>
      <c r="I18" s="61">
        <f t="shared" si="0"/>
        <v>7048.3870967741932</v>
      </c>
      <c r="J18" s="61">
        <f t="shared" si="1"/>
        <v>8717.7419354838712</v>
      </c>
      <c r="K18" s="61">
        <f t="shared" si="2"/>
        <v>15766.129032258064</v>
      </c>
      <c r="L18" s="62">
        <v>5</v>
      </c>
      <c r="M18" s="62">
        <v>0</v>
      </c>
      <c r="N18" s="62">
        <v>2500</v>
      </c>
      <c r="O18" s="62">
        <v>0</v>
      </c>
      <c r="P18" s="62">
        <v>70</v>
      </c>
      <c r="Q18" s="64"/>
      <c r="R18" s="61">
        <f t="shared" si="3"/>
        <v>15766.129032258064</v>
      </c>
      <c r="S18" s="61">
        <f t="shared" si="4"/>
        <v>2575</v>
      </c>
      <c r="T18" s="61">
        <f t="shared" si="5"/>
        <v>13191.129032258064</v>
      </c>
    </row>
    <row r="19" spans="1:20" x14ac:dyDescent="0.25">
      <c r="A19" s="55">
        <v>19</v>
      </c>
      <c r="B19" s="56">
        <v>4058</v>
      </c>
      <c r="C19" s="57" t="s">
        <v>401</v>
      </c>
      <c r="D19" s="57" t="s">
        <v>402</v>
      </c>
      <c r="E19" s="57" t="s">
        <v>126</v>
      </c>
      <c r="F19" s="58">
        <v>11500</v>
      </c>
      <c r="G19" s="59">
        <v>19</v>
      </c>
      <c r="H19" s="60">
        <v>229</v>
      </c>
      <c r="I19" s="61">
        <f t="shared" si="0"/>
        <v>7048.3870967741932</v>
      </c>
      <c r="J19" s="61">
        <f t="shared" si="1"/>
        <v>10618.951612903225</v>
      </c>
      <c r="K19" s="61">
        <f t="shared" si="2"/>
        <v>17667.338709677417</v>
      </c>
      <c r="L19" s="62">
        <v>5</v>
      </c>
      <c r="M19" s="62">
        <v>0</v>
      </c>
      <c r="N19" s="62">
        <v>2000</v>
      </c>
      <c r="O19" s="62">
        <v>0</v>
      </c>
      <c r="P19" s="62">
        <v>70</v>
      </c>
      <c r="Q19" s="64"/>
      <c r="R19" s="61">
        <f t="shared" si="3"/>
        <v>17667.338709677417</v>
      </c>
      <c r="S19" s="61">
        <f t="shared" si="4"/>
        <v>2075</v>
      </c>
      <c r="T19" s="61">
        <f t="shared" si="5"/>
        <v>15592.338709677417</v>
      </c>
    </row>
    <row r="20" spans="1:20" x14ac:dyDescent="0.25">
      <c r="A20" s="55">
        <v>20</v>
      </c>
      <c r="B20" s="56">
        <v>4065</v>
      </c>
      <c r="C20" s="57" t="s">
        <v>415</v>
      </c>
      <c r="D20" s="57" t="s">
        <v>383</v>
      </c>
      <c r="E20" s="57" t="s">
        <v>126</v>
      </c>
      <c r="F20" s="58">
        <v>12000</v>
      </c>
      <c r="G20" s="59">
        <v>13</v>
      </c>
      <c r="H20" s="60">
        <v>313</v>
      </c>
      <c r="I20" s="61">
        <f t="shared" si="0"/>
        <v>5032.2580645161297</v>
      </c>
      <c r="J20" s="61">
        <f t="shared" si="1"/>
        <v>15145.161290322581</v>
      </c>
      <c r="K20" s="61">
        <f t="shared" si="2"/>
        <v>20177.419354838712</v>
      </c>
      <c r="L20" s="62">
        <v>5</v>
      </c>
      <c r="M20" s="62">
        <v>0</v>
      </c>
      <c r="N20" s="62">
        <v>0</v>
      </c>
      <c r="O20" s="62">
        <v>0</v>
      </c>
      <c r="P20" s="62">
        <v>48</v>
      </c>
      <c r="Q20" s="64"/>
      <c r="R20" s="61">
        <f t="shared" si="3"/>
        <v>20177.419354838712</v>
      </c>
      <c r="S20" s="61">
        <f t="shared" si="4"/>
        <v>53</v>
      </c>
      <c r="T20" s="61">
        <f t="shared" si="5"/>
        <v>20124.419354838712</v>
      </c>
    </row>
    <row r="21" spans="1:20" x14ac:dyDescent="0.25">
      <c r="A21" s="55">
        <v>23</v>
      </c>
      <c r="B21" s="56">
        <v>2686</v>
      </c>
      <c r="C21" s="57" t="s">
        <v>88</v>
      </c>
      <c r="D21" s="57" t="s">
        <v>89</v>
      </c>
      <c r="E21" s="57" t="s">
        <v>77</v>
      </c>
      <c r="F21" s="58">
        <v>12300</v>
      </c>
      <c r="G21" s="59">
        <v>31</v>
      </c>
      <c r="H21" s="60">
        <v>102.5</v>
      </c>
      <c r="I21" s="61">
        <f t="shared" si="0"/>
        <v>12300</v>
      </c>
      <c r="J21" s="61">
        <f t="shared" si="1"/>
        <v>5083.6693548387093</v>
      </c>
      <c r="K21" s="61">
        <f t="shared" si="2"/>
        <v>17383.669354838708</v>
      </c>
      <c r="L21" s="62">
        <v>5</v>
      </c>
      <c r="M21" s="62">
        <v>0</v>
      </c>
      <c r="N21" s="62">
        <v>4000</v>
      </c>
      <c r="O21" s="62">
        <v>0</v>
      </c>
      <c r="P21" s="62">
        <v>114</v>
      </c>
      <c r="Q21" s="64"/>
      <c r="R21" s="61">
        <f t="shared" si="3"/>
        <v>17383.669354838708</v>
      </c>
      <c r="S21" s="61">
        <f t="shared" si="4"/>
        <v>4119</v>
      </c>
      <c r="T21" s="61">
        <f t="shared" si="5"/>
        <v>13264.669354838708</v>
      </c>
    </row>
    <row r="22" spans="1:20" x14ac:dyDescent="0.25">
      <c r="A22" s="55">
        <v>24</v>
      </c>
      <c r="B22" s="56">
        <v>2861</v>
      </c>
      <c r="C22" s="57" t="s">
        <v>101</v>
      </c>
      <c r="D22" s="57" t="s">
        <v>102</v>
      </c>
      <c r="E22" s="57" t="s">
        <v>77</v>
      </c>
      <c r="F22" s="58">
        <v>32100</v>
      </c>
      <c r="G22" s="59">
        <v>30</v>
      </c>
      <c r="H22" s="60">
        <v>143.5</v>
      </c>
      <c r="I22" s="61">
        <f t="shared" si="0"/>
        <v>31064.516129032258</v>
      </c>
      <c r="J22" s="61">
        <f t="shared" si="1"/>
        <v>18573.991935483871</v>
      </c>
      <c r="K22" s="61">
        <f t="shared" si="2"/>
        <v>49638.508064516129</v>
      </c>
      <c r="L22" s="62">
        <v>5</v>
      </c>
      <c r="M22" s="62">
        <v>200</v>
      </c>
      <c r="N22" s="62">
        <v>5000</v>
      </c>
      <c r="O22" s="62">
        <v>0</v>
      </c>
      <c r="P22" s="62">
        <v>0</v>
      </c>
      <c r="Q22" s="64"/>
      <c r="R22" s="61">
        <f t="shared" si="3"/>
        <v>49638.508064516129</v>
      </c>
      <c r="S22" s="61">
        <f t="shared" si="4"/>
        <v>5205</v>
      </c>
      <c r="T22" s="61">
        <f t="shared" si="5"/>
        <v>44433.508064516129</v>
      </c>
    </row>
    <row r="23" spans="1:20" x14ac:dyDescent="0.25">
      <c r="A23" s="55">
        <v>25</v>
      </c>
      <c r="B23" s="56">
        <v>3348</v>
      </c>
      <c r="C23" s="57" t="s">
        <v>131</v>
      </c>
      <c r="D23" s="57" t="s">
        <v>132</v>
      </c>
      <c r="E23" s="57" t="s">
        <v>77</v>
      </c>
      <c r="F23" s="58">
        <v>12500</v>
      </c>
      <c r="G23" s="59">
        <v>8</v>
      </c>
      <c r="H23" s="60">
        <v>36</v>
      </c>
      <c r="I23" s="61">
        <f t="shared" si="0"/>
        <v>3225.8064516129034</v>
      </c>
      <c r="J23" s="61">
        <f t="shared" si="1"/>
        <v>1814.516129032258</v>
      </c>
      <c r="K23" s="61">
        <f t="shared" si="2"/>
        <v>5040.322580645161</v>
      </c>
      <c r="L23" s="62">
        <v>5</v>
      </c>
      <c r="M23" s="62">
        <v>0</v>
      </c>
      <c r="N23" s="62">
        <v>0</v>
      </c>
      <c r="O23" s="62">
        <v>0</v>
      </c>
      <c r="P23" s="62">
        <v>48</v>
      </c>
      <c r="Q23" s="64"/>
      <c r="R23" s="61">
        <f t="shared" si="3"/>
        <v>5040.322580645161</v>
      </c>
      <c r="S23" s="61">
        <f t="shared" si="4"/>
        <v>53</v>
      </c>
      <c r="T23" s="61">
        <f t="shared" si="5"/>
        <v>4987.322580645161</v>
      </c>
    </row>
    <row r="24" spans="1:20" x14ac:dyDescent="0.25">
      <c r="A24" s="55">
        <v>26</v>
      </c>
      <c r="B24" s="56">
        <v>3361</v>
      </c>
      <c r="C24" s="57" t="s">
        <v>137</v>
      </c>
      <c r="D24" s="57" t="s">
        <v>138</v>
      </c>
      <c r="E24" s="57" t="s">
        <v>77</v>
      </c>
      <c r="F24" s="58">
        <v>15300</v>
      </c>
      <c r="G24" s="59">
        <v>31</v>
      </c>
      <c r="H24" s="60">
        <v>147</v>
      </c>
      <c r="I24" s="61">
        <f t="shared" si="0"/>
        <v>15300</v>
      </c>
      <c r="J24" s="61">
        <f t="shared" si="1"/>
        <v>9068.9516129032254</v>
      </c>
      <c r="K24" s="61">
        <f t="shared" si="2"/>
        <v>24368.951612903227</v>
      </c>
      <c r="L24" s="62">
        <v>5</v>
      </c>
      <c r="M24" s="62">
        <v>0</v>
      </c>
      <c r="N24" s="62">
        <v>4000</v>
      </c>
      <c r="O24" s="62">
        <v>0</v>
      </c>
      <c r="P24" s="62">
        <v>125</v>
      </c>
      <c r="Q24" s="64"/>
      <c r="R24" s="61">
        <f t="shared" si="3"/>
        <v>24368.951612903227</v>
      </c>
      <c r="S24" s="61">
        <f t="shared" si="4"/>
        <v>4130</v>
      </c>
      <c r="T24" s="61">
        <f t="shared" si="5"/>
        <v>20238.951612903227</v>
      </c>
    </row>
    <row r="25" spans="1:20" x14ac:dyDescent="0.25">
      <c r="A25" s="55">
        <v>27</v>
      </c>
      <c r="B25" s="56">
        <v>3373</v>
      </c>
      <c r="C25" s="57" t="s">
        <v>139</v>
      </c>
      <c r="D25" s="57" t="s">
        <v>140</v>
      </c>
      <c r="E25" s="57" t="s">
        <v>77</v>
      </c>
      <c r="F25" s="58">
        <v>13100</v>
      </c>
      <c r="G25" s="59">
        <v>25</v>
      </c>
      <c r="H25" s="60">
        <v>112</v>
      </c>
      <c r="I25" s="61">
        <f t="shared" si="0"/>
        <v>10564.516129032258</v>
      </c>
      <c r="J25" s="61">
        <f t="shared" si="1"/>
        <v>5916.1290322580644</v>
      </c>
      <c r="K25" s="61">
        <f t="shared" si="2"/>
        <v>16480.645161290322</v>
      </c>
      <c r="L25" s="62">
        <v>5</v>
      </c>
      <c r="M25" s="62">
        <v>0</v>
      </c>
      <c r="N25" s="62">
        <v>3000</v>
      </c>
      <c r="O25" s="62">
        <v>0</v>
      </c>
      <c r="P25" s="62">
        <v>95</v>
      </c>
      <c r="Q25" s="64"/>
      <c r="R25" s="61">
        <f t="shared" si="3"/>
        <v>16480.645161290322</v>
      </c>
      <c r="S25" s="61">
        <f t="shared" si="4"/>
        <v>3100</v>
      </c>
      <c r="T25" s="61">
        <f t="shared" si="5"/>
        <v>13380.645161290322</v>
      </c>
    </row>
    <row r="26" spans="1:20" x14ac:dyDescent="0.25">
      <c r="A26" s="55">
        <v>28</v>
      </c>
      <c r="B26" s="56">
        <v>3915</v>
      </c>
      <c r="C26" s="57" t="s">
        <v>254</v>
      </c>
      <c r="D26" s="57" t="s">
        <v>255</v>
      </c>
      <c r="E26" s="57" t="s">
        <v>77</v>
      </c>
      <c r="F26" s="58">
        <v>12700</v>
      </c>
      <c r="G26" s="59">
        <v>4</v>
      </c>
      <c r="H26" s="60">
        <v>15</v>
      </c>
      <c r="I26" s="61">
        <f t="shared" si="0"/>
        <v>1638.7096774193549</v>
      </c>
      <c r="J26" s="61">
        <f t="shared" si="1"/>
        <v>768.14516129032256</v>
      </c>
      <c r="K26" s="61">
        <f t="shared" si="2"/>
        <v>2406.8548387096776</v>
      </c>
      <c r="L26" s="62">
        <v>5</v>
      </c>
      <c r="M26" s="62">
        <v>0</v>
      </c>
      <c r="N26" s="62">
        <v>0</v>
      </c>
      <c r="O26" s="62">
        <v>0</v>
      </c>
      <c r="P26" s="62">
        <v>30</v>
      </c>
      <c r="Q26" s="64"/>
      <c r="R26" s="61">
        <f t="shared" si="3"/>
        <v>2406.8548387096776</v>
      </c>
      <c r="S26" s="61">
        <f t="shared" si="4"/>
        <v>35</v>
      </c>
      <c r="T26" s="61">
        <f t="shared" si="5"/>
        <v>2371.8548387096776</v>
      </c>
    </row>
    <row r="27" spans="1:20" x14ac:dyDescent="0.25">
      <c r="A27" s="55">
        <v>29</v>
      </c>
      <c r="B27" s="56">
        <v>4050</v>
      </c>
      <c r="C27" s="57" t="s">
        <v>386</v>
      </c>
      <c r="D27" s="57" t="s">
        <v>387</v>
      </c>
      <c r="E27" s="57" t="s">
        <v>77</v>
      </c>
      <c r="F27" s="58">
        <v>13000</v>
      </c>
      <c r="G27" s="59">
        <v>20</v>
      </c>
      <c r="H27" s="60">
        <v>329.5</v>
      </c>
      <c r="I27" s="61">
        <f t="shared" si="0"/>
        <v>8387.0967741935492</v>
      </c>
      <c r="J27" s="61">
        <f t="shared" si="1"/>
        <v>17272.177419354841</v>
      </c>
      <c r="K27" s="61">
        <f t="shared" si="2"/>
        <v>25659.27419354839</v>
      </c>
      <c r="L27" s="62">
        <v>5</v>
      </c>
      <c r="M27" s="62">
        <v>0</v>
      </c>
      <c r="N27" s="62">
        <v>4000</v>
      </c>
      <c r="O27" s="62">
        <v>0</v>
      </c>
      <c r="P27" s="62">
        <v>73</v>
      </c>
      <c r="Q27" s="64"/>
      <c r="R27" s="61">
        <f t="shared" si="3"/>
        <v>25659.27419354839</v>
      </c>
      <c r="S27" s="61">
        <f t="shared" si="4"/>
        <v>4078</v>
      </c>
      <c r="T27" s="61">
        <f t="shared" si="5"/>
        <v>21581.27419354839</v>
      </c>
    </row>
    <row r="28" spans="1:20" x14ac:dyDescent="0.25">
      <c r="A28" s="55">
        <v>30</v>
      </c>
      <c r="B28" s="56">
        <v>4066</v>
      </c>
      <c r="C28" s="57" t="s">
        <v>416</v>
      </c>
      <c r="D28" s="57" t="s">
        <v>324</v>
      </c>
      <c r="E28" s="57" t="s">
        <v>77</v>
      </c>
      <c r="F28" s="58">
        <v>11500</v>
      </c>
      <c r="G28" s="59">
        <v>7</v>
      </c>
      <c r="H28" s="60">
        <v>214</v>
      </c>
      <c r="I28" s="61">
        <f t="shared" si="0"/>
        <v>2596.7741935483868</v>
      </c>
      <c r="J28" s="61">
        <f t="shared" si="1"/>
        <v>9923.3870967741932</v>
      </c>
      <c r="K28" s="61">
        <f t="shared" si="2"/>
        <v>12520.16129032258</v>
      </c>
      <c r="L28" s="62">
        <v>5</v>
      </c>
      <c r="M28" s="62">
        <v>0</v>
      </c>
      <c r="N28" s="62">
        <v>500</v>
      </c>
      <c r="O28" s="62">
        <v>0</v>
      </c>
      <c r="P28" s="62">
        <v>8</v>
      </c>
      <c r="Q28" s="64"/>
      <c r="R28" s="61">
        <f t="shared" si="3"/>
        <v>12520.16129032258</v>
      </c>
      <c r="S28" s="61">
        <f t="shared" si="4"/>
        <v>513</v>
      </c>
      <c r="T28" s="61">
        <f t="shared" si="5"/>
        <v>12007.16129032258</v>
      </c>
    </row>
    <row r="29" spans="1:20" x14ac:dyDescent="0.25">
      <c r="A29" s="55">
        <v>31</v>
      </c>
      <c r="B29" s="56">
        <v>2668</v>
      </c>
      <c r="C29" s="57" t="s">
        <v>85</v>
      </c>
      <c r="D29" s="57" t="s">
        <v>86</v>
      </c>
      <c r="E29" s="57" t="s">
        <v>87</v>
      </c>
      <c r="F29" s="58">
        <v>49500</v>
      </c>
      <c r="G29" s="59">
        <v>31</v>
      </c>
      <c r="H29" s="60">
        <v>157</v>
      </c>
      <c r="I29" s="61">
        <f t="shared" si="0"/>
        <v>49500</v>
      </c>
      <c r="J29" s="61">
        <f t="shared" si="1"/>
        <v>31336.693548387095</v>
      </c>
      <c r="K29" s="61">
        <f t="shared" si="2"/>
        <v>80836.693548387091</v>
      </c>
      <c r="L29" s="62">
        <v>5</v>
      </c>
      <c r="M29" s="62">
        <v>200</v>
      </c>
      <c r="N29" s="62">
        <v>0</v>
      </c>
      <c r="O29" s="62">
        <v>0</v>
      </c>
      <c r="P29" s="62">
        <v>0</v>
      </c>
      <c r="Q29" s="64"/>
      <c r="R29" s="61">
        <f t="shared" si="3"/>
        <v>80836.693548387091</v>
      </c>
      <c r="S29" s="61">
        <f t="shared" si="4"/>
        <v>205</v>
      </c>
      <c r="T29" s="61">
        <f t="shared" si="5"/>
        <v>80631.693548387091</v>
      </c>
    </row>
    <row r="30" spans="1:20" x14ac:dyDescent="0.25">
      <c r="A30" s="55">
        <v>32</v>
      </c>
      <c r="B30" s="56">
        <v>3504</v>
      </c>
      <c r="C30" s="57" t="s">
        <v>152</v>
      </c>
      <c r="D30" s="57" t="s">
        <v>153</v>
      </c>
      <c r="E30" s="57" t="s">
        <v>87</v>
      </c>
      <c r="F30" s="58">
        <v>13500</v>
      </c>
      <c r="G30" s="59">
        <v>19</v>
      </c>
      <c r="H30" s="60">
        <v>97</v>
      </c>
      <c r="I30" s="61">
        <f t="shared" si="0"/>
        <v>8274.1935483870966</v>
      </c>
      <c r="J30" s="61">
        <f t="shared" si="1"/>
        <v>5280.2419354838712</v>
      </c>
      <c r="K30" s="61">
        <f t="shared" si="2"/>
        <v>13554.435483870968</v>
      </c>
      <c r="L30" s="62">
        <v>5</v>
      </c>
      <c r="M30" s="62">
        <v>0</v>
      </c>
      <c r="N30" s="62">
        <v>0</v>
      </c>
      <c r="O30" s="62">
        <v>0</v>
      </c>
      <c r="P30" s="62">
        <v>77</v>
      </c>
      <c r="Q30" s="64"/>
      <c r="R30" s="61">
        <f t="shared" si="3"/>
        <v>13554.435483870968</v>
      </c>
      <c r="S30" s="61">
        <f t="shared" si="4"/>
        <v>82</v>
      </c>
      <c r="T30" s="61">
        <f t="shared" si="5"/>
        <v>13472.435483870968</v>
      </c>
    </row>
    <row r="31" spans="1:20" x14ac:dyDescent="0.25">
      <c r="A31" s="55">
        <v>33</v>
      </c>
      <c r="B31" s="56">
        <v>3938</v>
      </c>
      <c r="C31" s="57" t="s">
        <v>271</v>
      </c>
      <c r="D31" s="57" t="s">
        <v>272</v>
      </c>
      <c r="E31" s="57" t="s">
        <v>87</v>
      </c>
      <c r="F31" s="58">
        <v>18000</v>
      </c>
      <c r="G31" s="59">
        <v>31</v>
      </c>
      <c r="H31" s="60">
        <v>122.5</v>
      </c>
      <c r="I31" s="61">
        <f t="shared" si="0"/>
        <v>18000</v>
      </c>
      <c r="J31" s="61">
        <f t="shared" si="1"/>
        <v>8891.1290322580644</v>
      </c>
      <c r="K31" s="61">
        <f t="shared" si="2"/>
        <v>26891.129032258064</v>
      </c>
      <c r="L31" s="62">
        <v>5</v>
      </c>
      <c r="M31" s="62">
        <v>0</v>
      </c>
      <c r="N31" s="62">
        <v>0</v>
      </c>
      <c r="O31" s="62">
        <v>0</v>
      </c>
      <c r="P31" s="62">
        <v>141</v>
      </c>
      <c r="Q31" s="64"/>
      <c r="R31" s="61">
        <f t="shared" si="3"/>
        <v>26891.129032258064</v>
      </c>
      <c r="S31" s="61">
        <f t="shared" si="4"/>
        <v>146</v>
      </c>
      <c r="T31" s="61">
        <f t="shared" si="5"/>
        <v>26745.129032258064</v>
      </c>
    </row>
    <row r="32" spans="1:20" x14ac:dyDescent="0.25">
      <c r="A32" s="55">
        <v>34</v>
      </c>
      <c r="B32" s="56">
        <v>1948</v>
      </c>
      <c r="C32" s="57" t="s">
        <v>62</v>
      </c>
      <c r="D32" s="57" t="s">
        <v>63</v>
      </c>
      <c r="E32" s="57" t="s">
        <v>64</v>
      </c>
      <c r="F32" s="58">
        <v>85000</v>
      </c>
      <c r="G32" s="59">
        <v>31</v>
      </c>
      <c r="H32" s="60"/>
      <c r="I32" s="61">
        <f t="shared" si="0"/>
        <v>85000</v>
      </c>
      <c r="J32" s="61">
        <f t="shared" si="1"/>
        <v>0</v>
      </c>
      <c r="K32" s="61">
        <f t="shared" si="2"/>
        <v>85000</v>
      </c>
      <c r="L32" s="62">
        <v>5</v>
      </c>
      <c r="M32" s="62">
        <v>200</v>
      </c>
      <c r="N32" s="62">
        <v>0</v>
      </c>
      <c r="O32" s="62">
        <v>0</v>
      </c>
      <c r="P32" s="62">
        <v>0</v>
      </c>
      <c r="Q32" s="64"/>
      <c r="R32" s="61">
        <f t="shared" si="3"/>
        <v>85000</v>
      </c>
      <c r="S32" s="61">
        <f t="shared" si="4"/>
        <v>205</v>
      </c>
      <c r="T32" s="61">
        <f t="shared" si="5"/>
        <v>84795</v>
      </c>
    </row>
    <row r="33" spans="1:20" x14ac:dyDescent="0.25">
      <c r="A33" s="55">
        <v>35</v>
      </c>
      <c r="B33" s="56">
        <v>766</v>
      </c>
      <c r="C33" s="57" t="s">
        <v>39</v>
      </c>
      <c r="D33" s="57" t="s">
        <v>40</v>
      </c>
      <c r="E33" s="57" t="s">
        <v>41</v>
      </c>
      <c r="F33" s="58">
        <v>20500</v>
      </c>
      <c r="G33" s="59">
        <v>31</v>
      </c>
      <c r="H33" s="60">
        <v>218</v>
      </c>
      <c r="I33" s="61">
        <f t="shared" si="0"/>
        <v>20500</v>
      </c>
      <c r="J33" s="61">
        <f t="shared" si="1"/>
        <v>18020.16129032258</v>
      </c>
      <c r="K33" s="61">
        <f t="shared" si="2"/>
        <v>38520.161290322576</v>
      </c>
      <c r="L33" s="62">
        <v>5</v>
      </c>
      <c r="M33" s="62">
        <v>200</v>
      </c>
      <c r="N33" s="62">
        <v>0</v>
      </c>
      <c r="O33" s="62">
        <v>1800</v>
      </c>
      <c r="P33" s="62">
        <v>158</v>
      </c>
      <c r="Q33" s="64"/>
      <c r="R33" s="61">
        <f t="shared" si="3"/>
        <v>38520.161290322576</v>
      </c>
      <c r="S33" s="61">
        <f t="shared" si="4"/>
        <v>2163</v>
      </c>
      <c r="T33" s="61">
        <f t="shared" si="5"/>
        <v>36357.161290322576</v>
      </c>
    </row>
    <row r="34" spans="1:20" x14ac:dyDescent="0.25">
      <c r="A34" s="55">
        <v>36</v>
      </c>
      <c r="B34" s="56">
        <v>1590</v>
      </c>
      <c r="C34" s="57" t="s">
        <v>52</v>
      </c>
      <c r="D34" s="57" t="s">
        <v>53</v>
      </c>
      <c r="E34" s="57" t="s">
        <v>41</v>
      </c>
      <c r="F34" s="58">
        <v>29700</v>
      </c>
      <c r="G34" s="59">
        <v>30</v>
      </c>
      <c r="H34" s="60">
        <v>198.5</v>
      </c>
      <c r="I34" s="61">
        <f t="shared" si="0"/>
        <v>28741.93548387097</v>
      </c>
      <c r="J34" s="61">
        <f t="shared" si="1"/>
        <v>23771.975806451614</v>
      </c>
      <c r="K34" s="61">
        <f t="shared" si="2"/>
        <v>52513.911290322583</v>
      </c>
      <c r="L34" s="62">
        <v>5</v>
      </c>
      <c r="M34" s="62">
        <v>200</v>
      </c>
      <c r="N34" s="62">
        <v>0</v>
      </c>
      <c r="O34" s="62">
        <v>0</v>
      </c>
      <c r="P34" s="62">
        <v>0</v>
      </c>
      <c r="Q34" s="64"/>
      <c r="R34" s="61">
        <f t="shared" si="3"/>
        <v>52513.911290322583</v>
      </c>
      <c r="S34" s="61">
        <f t="shared" si="4"/>
        <v>205</v>
      </c>
      <c r="T34" s="61">
        <f t="shared" si="5"/>
        <v>52308.911290322583</v>
      </c>
    </row>
    <row r="35" spans="1:20" x14ac:dyDescent="0.25">
      <c r="A35" s="55">
        <v>37</v>
      </c>
      <c r="B35" s="56">
        <v>3851</v>
      </c>
      <c r="C35" s="57" t="s">
        <v>237</v>
      </c>
      <c r="D35" s="57" t="s">
        <v>238</v>
      </c>
      <c r="E35" s="57" t="s">
        <v>41</v>
      </c>
      <c r="F35" s="58">
        <v>19000</v>
      </c>
      <c r="G35" s="59">
        <v>22</v>
      </c>
      <c r="H35" s="60">
        <v>101.5</v>
      </c>
      <c r="I35" s="61">
        <f t="shared" si="0"/>
        <v>13483.870967741936</v>
      </c>
      <c r="J35" s="61">
        <f t="shared" si="1"/>
        <v>7776.2096774193542</v>
      </c>
      <c r="K35" s="61">
        <f t="shared" si="2"/>
        <v>21260.080645161288</v>
      </c>
      <c r="L35" s="62">
        <v>5</v>
      </c>
      <c r="M35" s="62">
        <v>0</v>
      </c>
      <c r="N35" s="62">
        <v>7080</v>
      </c>
      <c r="O35" s="62">
        <v>0</v>
      </c>
      <c r="P35" s="62">
        <v>122</v>
      </c>
      <c r="Q35" s="64"/>
      <c r="R35" s="61">
        <f t="shared" si="3"/>
        <v>21260.080645161288</v>
      </c>
      <c r="S35" s="61">
        <f t="shared" si="4"/>
        <v>7207</v>
      </c>
      <c r="T35" s="61">
        <f t="shared" si="5"/>
        <v>14053.080645161288</v>
      </c>
    </row>
    <row r="36" spans="1:20" x14ac:dyDescent="0.25">
      <c r="A36" s="55">
        <v>38</v>
      </c>
      <c r="B36" s="56">
        <v>4059</v>
      </c>
      <c r="C36" s="57" t="s">
        <v>403</v>
      </c>
      <c r="D36" s="57" t="s">
        <v>404</v>
      </c>
      <c r="E36" s="57" t="s">
        <v>41</v>
      </c>
      <c r="F36" s="58">
        <v>14000</v>
      </c>
      <c r="G36" s="59">
        <v>20</v>
      </c>
      <c r="H36" s="60">
        <v>74.5</v>
      </c>
      <c r="I36" s="61">
        <f t="shared" si="0"/>
        <v>9032.2580645161288</v>
      </c>
      <c r="J36" s="61">
        <f t="shared" si="1"/>
        <v>4205.6451612903229</v>
      </c>
      <c r="K36" s="61">
        <f t="shared" si="2"/>
        <v>13237.903225806451</v>
      </c>
      <c r="L36" s="62">
        <v>5</v>
      </c>
      <c r="M36" s="62">
        <v>0</v>
      </c>
      <c r="N36" s="62">
        <v>1000</v>
      </c>
      <c r="O36" s="62">
        <v>0</v>
      </c>
      <c r="P36" s="62">
        <v>41</v>
      </c>
      <c r="Q36" s="64"/>
      <c r="R36" s="61">
        <f t="shared" si="3"/>
        <v>13237.903225806451</v>
      </c>
      <c r="S36" s="61">
        <f t="shared" si="4"/>
        <v>1046</v>
      </c>
      <c r="T36" s="61">
        <f t="shared" si="5"/>
        <v>12191.903225806451</v>
      </c>
    </row>
    <row r="37" spans="1:20" x14ac:dyDescent="0.25">
      <c r="A37" s="55">
        <v>39</v>
      </c>
      <c r="B37" s="65">
        <v>2702</v>
      </c>
      <c r="C37" s="66" t="s">
        <v>90</v>
      </c>
      <c r="D37" s="66" t="s">
        <v>91</v>
      </c>
      <c r="E37" s="66" t="s">
        <v>92</v>
      </c>
      <c r="F37" s="67">
        <v>9000</v>
      </c>
      <c r="G37" s="65"/>
      <c r="H37" s="65"/>
      <c r="I37" s="61">
        <f t="shared" si="0"/>
        <v>0</v>
      </c>
      <c r="J37" s="61">
        <f t="shared" si="1"/>
        <v>0</v>
      </c>
      <c r="K37" s="68">
        <v>9000</v>
      </c>
      <c r="L37" s="62">
        <v>5</v>
      </c>
      <c r="M37" s="62">
        <v>0</v>
      </c>
      <c r="N37" s="62">
        <v>0</v>
      </c>
      <c r="O37" s="62">
        <v>0</v>
      </c>
      <c r="P37" s="62">
        <v>114</v>
      </c>
      <c r="Q37" s="69"/>
      <c r="R37" s="61">
        <f t="shared" si="3"/>
        <v>9000</v>
      </c>
      <c r="S37" s="61">
        <f t="shared" si="4"/>
        <v>119</v>
      </c>
      <c r="T37" s="61">
        <f t="shared" si="5"/>
        <v>8881</v>
      </c>
    </row>
    <row r="38" spans="1:20" x14ac:dyDescent="0.25">
      <c r="A38" s="55">
        <v>40</v>
      </c>
      <c r="B38" s="65">
        <v>2913</v>
      </c>
      <c r="C38" s="66" t="s">
        <v>107</v>
      </c>
      <c r="D38" s="66" t="s">
        <v>108</v>
      </c>
      <c r="E38" s="66" t="s">
        <v>92</v>
      </c>
      <c r="F38" s="67">
        <v>9000</v>
      </c>
      <c r="G38" s="65">
        <v>27</v>
      </c>
      <c r="H38" s="65">
        <v>42</v>
      </c>
      <c r="I38" s="61">
        <f t="shared" si="0"/>
        <v>7838.7096774193542</v>
      </c>
      <c r="J38" s="61">
        <f t="shared" si="1"/>
        <v>1524.1935483870968</v>
      </c>
      <c r="K38" s="68">
        <v>15330</v>
      </c>
      <c r="L38" s="62">
        <v>5</v>
      </c>
      <c r="M38" s="62">
        <v>0</v>
      </c>
      <c r="N38" s="62">
        <v>2500</v>
      </c>
      <c r="O38" s="62">
        <v>0</v>
      </c>
      <c r="P38" s="62">
        <v>99</v>
      </c>
      <c r="Q38" s="64"/>
      <c r="R38" s="61">
        <f t="shared" si="3"/>
        <v>15330</v>
      </c>
      <c r="S38" s="61">
        <f t="shared" si="4"/>
        <v>2604</v>
      </c>
      <c r="T38" s="61">
        <f t="shared" si="5"/>
        <v>12726</v>
      </c>
    </row>
    <row r="39" spans="1:20" x14ac:dyDescent="0.25">
      <c r="A39" s="55">
        <v>41</v>
      </c>
      <c r="B39" s="65">
        <v>3359</v>
      </c>
      <c r="C39" s="66" t="s">
        <v>135</v>
      </c>
      <c r="D39" s="66" t="s">
        <v>136</v>
      </c>
      <c r="E39" s="66" t="s">
        <v>92</v>
      </c>
      <c r="F39" s="67">
        <v>9500</v>
      </c>
      <c r="G39" s="65">
        <v>20</v>
      </c>
      <c r="H39" s="65">
        <v>33</v>
      </c>
      <c r="I39" s="61">
        <f t="shared" si="0"/>
        <v>6129.0322580645161</v>
      </c>
      <c r="J39" s="61">
        <f t="shared" si="1"/>
        <v>1264.1129032258063</v>
      </c>
      <c r="K39" s="68">
        <v>20300</v>
      </c>
      <c r="L39" s="62">
        <v>5</v>
      </c>
      <c r="M39" s="62">
        <v>0</v>
      </c>
      <c r="N39" s="62">
        <v>2000</v>
      </c>
      <c r="O39" s="62">
        <v>0</v>
      </c>
      <c r="P39" s="62">
        <v>77</v>
      </c>
      <c r="Q39" s="64"/>
      <c r="R39" s="61">
        <f t="shared" si="3"/>
        <v>20300</v>
      </c>
      <c r="S39" s="61">
        <f t="shared" si="4"/>
        <v>2082</v>
      </c>
      <c r="T39" s="61">
        <f t="shared" si="5"/>
        <v>18218</v>
      </c>
    </row>
    <row r="40" spans="1:20" x14ac:dyDescent="0.25">
      <c r="A40" s="55">
        <v>42</v>
      </c>
      <c r="B40" s="65">
        <v>3433</v>
      </c>
      <c r="C40" s="66" t="s">
        <v>148</v>
      </c>
      <c r="D40" s="66" t="s">
        <v>149</v>
      </c>
      <c r="E40" s="66" t="s">
        <v>92</v>
      </c>
      <c r="F40" s="67">
        <v>9500</v>
      </c>
      <c r="G40" s="65"/>
      <c r="H40" s="65"/>
      <c r="I40" s="61">
        <f t="shared" si="0"/>
        <v>0</v>
      </c>
      <c r="J40" s="61">
        <f t="shared" si="1"/>
        <v>0</v>
      </c>
      <c r="K40" s="68">
        <v>12990</v>
      </c>
      <c r="L40" s="62">
        <v>5</v>
      </c>
      <c r="M40" s="62">
        <v>0</v>
      </c>
      <c r="N40" s="62">
        <v>2000</v>
      </c>
      <c r="O40" s="62">
        <v>0</v>
      </c>
      <c r="P40" s="62">
        <v>99</v>
      </c>
      <c r="Q40" s="64"/>
      <c r="R40" s="61">
        <f t="shared" si="3"/>
        <v>12990</v>
      </c>
      <c r="S40" s="61">
        <f t="shared" si="4"/>
        <v>2104</v>
      </c>
      <c r="T40" s="61">
        <f t="shared" si="5"/>
        <v>10886</v>
      </c>
    </row>
    <row r="41" spans="1:20" x14ac:dyDescent="0.25">
      <c r="A41" s="55">
        <v>43</v>
      </c>
      <c r="B41" s="65">
        <v>3436</v>
      </c>
      <c r="C41" s="66" t="s">
        <v>150</v>
      </c>
      <c r="D41" s="66" t="s">
        <v>151</v>
      </c>
      <c r="E41" s="66" t="s">
        <v>92</v>
      </c>
      <c r="F41" s="67">
        <v>9500</v>
      </c>
      <c r="G41" s="65"/>
      <c r="H41" s="65"/>
      <c r="I41" s="61">
        <f t="shared" ref="I41:I103" si="6">F41/31*G41</f>
        <v>0</v>
      </c>
      <c r="J41" s="61">
        <f t="shared" ref="J41:J103" si="7">F41/31/8*H41</f>
        <v>0</v>
      </c>
      <c r="K41" s="68">
        <v>20150</v>
      </c>
      <c r="L41" s="62">
        <v>5</v>
      </c>
      <c r="M41" s="62">
        <v>0</v>
      </c>
      <c r="N41" s="62">
        <v>2500</v>
      </c>
      <c r="O41" s="62">
        <v>0</v>
      </c>
      <c r="P41" s="62">
        <v>99</v>
      </c>
      <c r="Q41" s="64"/>
      <c r="R41" s="61">
        <f t="shared" ref="R41:R103" si="8">K41</f>
        <v>20150</v>
      </c>
      <c r="S41" s="61">
        <f t="shared" ref="S41:S103" si="9">L41+M41+N41+O41+P41+Q41</f>
        <v>2604</v>
      </c>
      <c r="T41" s="61">
        <f t="shared" ref="T41:T103" si="10">R41-S41</f>
        <v>17546</v>
      </c>
    </row>
    <row r="42" spans="1:20" x14ac:dyDescent="0.25">
      <c r="A42" s="55">
        <v>44</v>
      </c>
      <c r="B42" s="65">
        <v>3659</v>
      </c>
      <c r="C42" s="66" t="s">
        <v>182</v>
      </c>
      <c r="D42" s="66" t="s">
        <v>183</v>
      </c>
      <c r="E42" s="66" t="s">
        <v>92</v>
      </c>
      <c r="F42" s="67">
        <v>9500</v>
      </c>
      <c r="G42" s="65"/>
      <c r="H42" s="65"/>
      <c r="I42" s="61">
        <f t="shared" si="6"/>
        <v>0</v>
      </c>
      <c r="J42" s="61">
        <f t="shared" si="7"/>
        <v>0</v>
      </c>
      <c r="K42" s="68">
        <v>25000</v>
      </c>
      <c r="L42" s="62">
        <v>5</v>
      </c>
      <c r="M42" s="62">
        <v>0</v>
      </c>
      <c r="N42" s="62">
        <v>2000</v>
      </c>
      <c r="O42" s="62">
        <v>0</v>
      </c>
      <c r="P42" s="62">
        <v>92</v>
      </c>
      <c r="Q42" s="64"/>
      <c r="R42" s="61">
        <f t="shared" si="8"/>
        <v>25000</v>
      </c>
      <c r="S42" s="61">
        <f t="shared" si="9"/>
        <v>2097</v>
      </c>
      <c r="T42" s="61">
        <f t="shared" si="10"/>
        <v>22903</v>
      </c>
    </row>
    <row r="43" spans="1:20" x14ac:dyDescent="0.25">
      <c r="A43" s="55">
        <v>45</v>
      </c>
      <c r="B43" s="65">
        <v>3685</v>
      </c>
      <c r="C43" s="66" t="s">
        <v>193</v>
      </c>
      <c r="D43" s="66" t="s">
        <v>194</v>
      </c>
      <c r="E43" s="66" t="s">
        <v>92</v>
      </c>
      <c r="F43" s="67">
        <v>9500</v>
      </c>
      <c r="G43" s="65"/>
      <c r="H43" s="65"/>
      <c r="I43" s="61">
        <f t="shared" si="6"/>
        <v>0</v>
      </c>
      <c r="J43" s="61">
        <f t="shared" si="7"/>
        <v>0</v>
      </c>
      <c r="K43" s="68">
        <v>20000</v>
      </c>
      <c r="L43" s="62">
        <v>5</v>
      </c>
      <c r="M43" s="62">
        <v>0</v>
      </c>
      <c r="N43" s="62">
        <v>2500</v>
      </c>
      <c r="O43" s="62">
        <v>0</v>
      </c>
      <c r="P43" s="62">
        <v>103</v>
      </c>
      <c r="Q43" s="64"/>
      <c r="R43" s="61">
        <f t="shared" si="8"/>
        <v>20000</v>
      </c>
      <c r="S43" s="61">
        <f t="shared" si="9"/>
        <v>2608</v>
      </c>
      <c r="T43" s="61">
        <f t="shared" si="10"/>
        <v>17392</v>
      </c>
    </row>
    <row r="44" spans="1:20" x14ac:dyDescent="0.25">
      <c r="A44" s="55">
        <v>46</v>
      </c>
      <c r="B44" s="65">
        <v>3729</v>
      </c>
      <c r="C44" s="66" t="s">
        <v>201</v>
      </c>
      <c r="D44" s="66" t="s">
        <v>202</v>
      </c>
      <c r="E44" s="66" t="s">
        <v>92</v>
      </c>
      <c r="F44" s="67">
        <v>9500</v>
      </c>
      <c r="G44" s="65"/>
      <c r="H44" s="65"/>
      <c r="I44" s="61">
        <f t="shared" si="6"/>
        <v>0</v>
      </c>
      <c r="J44" s="61">
        <f t="shared" si="7"/>
        <v>0</v>
      </c>
      <c r="K44" s="68">
        <v>20650</v>
      </c>
      <c r="L44" s="62">
        <v>5</v>
      </c>
      <c r="M44" s="62">
        <v>0</v>
      </c>
      <c r="N44" s="62">
        <v>2500</v>
      </c>
      <c r="O44" s="62">
        <v>0</v>
      </c>
      <c r="P44" s="62">
        <v>95</v>
      </c>
      <c r="Q44" s="64"/>
      <c r="R44" s="61">
        <f t="shared" si="8"/>
        <v>20650</v>
      </c>
      <c r="S44" s="61">
        <f t="shared" si="9"/>
        <v>2600</v>
      </c>
      <c r="T44" s="61">
        <f t="shared" si="10"/>
        <v>18050</v>
      </c>
    </row>
    <row r="45" spans="1:20" x14ac:dyDescent="0.25">
      <c r="A45" s="55">
        <v>47</v>
      </c>
      <c r="B45" s="65">
        <v>3910</v>
      </c>
      <c r="C45" s="66" t="s">
        <v>252</v>
      </c>
      <c r="D45" s="66" t="s">
        <v>253</v>
      </c>
      <c r="E45" s="66" t="s">
        <v>92</v>
      </c>
      <c r="F45" s="67">
        <v>9500</v>
      </c>
      <c r="G45" s="65"/>
      <c r="H45" s="65"/>
      <c r="I45" s="61">
        <f t="shared" si="6"/>
        <v>0</v>
      </c>
      <c r="J45" s="61">
        <f t="shared" si="7"/>
        <v>0</v>
      </c>
      <c r="K45" s="68">
        <v>25000</v>
      </c>
      <c r="L45" s="62">
        <v>5</v>
      </c>
      <c r="M45" s="62">
        <v>0</v>
      </c>
      <c r="N45" s="62">
        <v>2500</v>
      </c>
      <c r="O45" s="62">
        <v>0</v>
      </c>
      <c r="P45" s="62">
        <v>110</v>
      </c>
      <c r="Q45" s="64"/>
      <c r="R45" s="61">
        <f t="shared" si="8"/>
        <v>25000</v>
      </c>
      <c r="S45" s="61">
        <f t="shared" si="9"/>
        <v>2615</v>
      </c>
      <c r="T45" s="61">
        <f t="shared" si="10"/>
        <v>22385</v>
      </c>
    </row>
    <row r="46" spans="1:20" x14ac:dyDescent="0.25">
      <c r="A46" s="55">
        <v>48</v>
      </c>
      <c r="B46" s="65">
        <v>3945</v>
      </c>
      <c r="C46" s="66" t="s">
        <v>275</v>
      </c>
      <c r="D46" s="66" t="s">
        <v>276</v>
      </c>
      <c r="E46" s="66" t="s">
        <v>92</v>
      </c>
      <c r="F46" s="67">
        <v>9500</v>
      </c>
      <c r="G46" s="65"/>
      <c r="H46" s="65"/>
      <c r="I46" s="61">
        <f t="shared" si="6"/>
        <v>0</v>
      </c>
      <c r="J46" s="61">
        <f t="shared" si="7"/>
        <v>0</v>
      </c>
      <c r="K46" s="68">
        <v>11250</v>
      </c>
      <c r="L46" s="62">
        <v>5</v>
      </c>
      <c r="M46" s="62">
        <v>0</v>
      </c>
      <c r="N46" s="62">
        <v>1500</v>
      </c>
      <c r="O46" s="62">
        <v>0</v>
      </c>
      <c r="P46" s="62">
        <v>99</v>
      </c>
      <c r="Q46" s="64"/>
      <c r="R46" s="61">
        <f t="shared" si="8"/>
        <v>11250</v>
      </c>
      <c r="S46" s="61">
        <f t="shared" si="9"/>
        <v>1604</v>
      </c>
      <c r="T46" s="61">
        <f t="shared" si="10"/>
        <v>9646</v>
      </c>
    </row>
    <row r="47" spans="1:20" x14ac:dyDescent="0.25">
      <c r="A47" s="55">
        <v>49</v>
      </c>
      <c r="B47" s="65">
        <v>3948</v>
      </c>
      <c r="C47" s="66" t="s">
        <v>279</v>
      </c>
      <c r="D47" s="66" t="s">
        <v>280</v>
      </c>
      <c r="E47" s="66" t="s">
        <v>92</v>
      </c>
      <c r="F47" s="67">
        <v>9500</v>
      </c>
      <c r="G47" s="65"/>
      <c r="H47" s="65"/>
      <c r="I47" s="61">
        <f t="shared" si="6"/>
        <v>0</v>
      </c>
      <c r="J47" s="61">
        <f t="shared" si="7"/>
        <v>0</v>
      </c>
      <c r="K47" s="68">
        <v>25000</v>
      </c>
      <c r="L47" s="62">
        <v>5</v>
      </c>
      <c r="M47" s="62">
        <v>0</v>
      </c>
      <c r="N47" s="62">
        <v>2000</v>
      </c>
      <c r="O47" s="62">
        <v>0</v>
      </c>
      <c r="P47" s="62">
        <v>103</v>
      </c>
      <c r="Q47" s="64"/>
      <c r="R47" s="61">
        <f t="shared" si="8"/>
        <v>25000</v>
      </c>
      <c r="S47" s="61">
        <f t="shared" si="9"/>
        <v>2108</v>
      </c>
      <c r="T47" s="61">
        <f t="shared" si="10"/>
        <v>22892</v>
      </c>
    </row>
    <row r="48" spans="1:20" x14ac:dyDescent="0.25">
      <c r="A48" s="55">
        <v>50</v>
      </c>
      <c r="B48" s="65">
        <v>4017</v>
      </c>
      <c r="C48" s="66" t="s">
        <v>331</v>
      </c>
      <c r="D48" s="66" t="s">
        <v>332</v>
      </c>
      <c r="E48" s="66" t="s">
        <v>92</v>
      </c>
      <c r="F48" s="67">
        <v>9500</v>
      </c>
      <c r="G48" s="65"/>
      <c r="H48" s="65"/>
      <c r="I48" s="61">
        <f t="shared" si="6"/>
        <v>0</v>
      </c>
      <c r="J48" s="61">
        <f t="shared" si="7"/>
        <v>0</v>
      </c>
      <c r="K48" s="68">
        <v>11350</v>
      </c>
      <c r="L48" s="62">
        <v>5</v>
      </c>
      <c r="M48" s="62">
        <v>0</v>
      </c>
      <c r="N48" s="62">
        <v>0</v>
      </c>
      <c r="O48" s="62">
        <v>0</v>
      </c>
      <c r="P48" s="62">
        <v>95</v>
      </c>
      <c r="Q48" s="64"/>
      <c r="R48" s="61">
        <f t="shared" si="8"/>
        <v>11350</v>
      </c>
      <c r="S48" s="61">
        <f t="shared" si="9"/>
        <v>100</v>
      </c>
      <c r="T48" s="61">
        <f t="shared" si="10"/>
        <v>11250</v>
      </c>
    </row>
    <row r="49" spans="1:20" x14ac:dyDescent="0.25">
      <c r="A49" s="55">
        <v>51</v>
      </c>
      <c r="B49" s="65">
        <v>4019</v>
      </c>
      <c r="C49" s="66" t="s">
        <v>335</v>
      </c>
      <c r="D49" s="66" t="s">
        <v>336</v>
      </c>
      <c r="E49" s="66" t="s">
        <v>92</v>
      </c>
      <c r="F49" s="67">
        <v>9500</v>
      </c>
      <c r="G49" s="65"/>
      <c r="H49" s="65"/>
      <c r="I49" s="61">
        <f t="shared" si="6"/>
        <v>0</v>
      </c>
      <c r="J49" s="61">
        <f t="shared" si="7"/>
        <v>0</v>
      </c>
      <c r="K49" s="68">
        <v>23200</v>
      </c>
      <c r="L49" s="62">
        <v>5</v>
      </c>
      <c r="M49" s="62">
        <v>0</v>
      </c>
      <c r="N49" s="62">
        <v>2500</v>
      </c>
      <c r="O49" s="62">
        <v>0</v>
      </c>
      <c r="P49" s="62">
        <v>114</v>
      </c>
      <c r="Q49" s="64"/>
      <c r="R49" s="61">
        <f t="shared" si="8"/>
        <v>23200</v>
      </c>
      <c r="S49" s="61">
        <f t="shared" si="9"/>
        <v>2619</v>
      </c>
      <c r="T49" s="61">
        <f t="shared" si="10"/>
        <v>20581</v>
      </c>
    </row>
    <row r="50" spans="1:20" x14ac:dyDescent="0.25">
      <c r="A50" s="55">
        <v>52</v>
      </c>
      <c r="B50" s="65">
        <v>4049</v>
      </c>
      <c r="C50" s="66" t="s">
        <v>384</v>
      </c>
      <c r="D50" s="66" t="s">
        <v>385</v>
      </c>
      <c r="E50" s="66" t="s">
        <v>92</v>
      </c>
      <c r="F50" s="67">
        <v>9500</v>
      </c>
      <c r="G50" s="65"/>
      <c r="H50" s="65"/>
      <c r="I50" s="61">
        <f t="shared" si="6"/>
        <v>0</v>
      </c>
      <c r="J50" s="61">
        <f t="shared" si="7"/>
        <v>0</v>
      </c>
      <c r="K50" s="68">
        <v>25800</v>
      </c>
      <c r="L50" s="62">
        <v>5</v>
      </c>
      <c r="M50" s="62">
        <v>0</v>
      </c>
      <c r="N50" s="62">
        <v>2500</v>
      </c>
      <c r="O50" s="62">
        <v>0</v>
      </c>
      <c r="P50" s="62">
        <v>70</v>
      </c>
      <c r="Q50" s="64"/>
      <c r="R50" s="61">
        <f t="shared" si="8"/>
        <v>25800</v>
      </c>
      <c r="S50" s="61">
        <f t="shared" si="9"/>
        <v>2575</v>
      </c>
      <c r="T50" s="61">
        <f t="shared" si="10"/>
        <v>23225</v>
      </c>
    </row>
    <row r="51" spans="1:20" x14ac:dyDescent="0.25">
      <c r="A51" s="55">
        <v>53</v>
      </c>
      <c r="B51" s="56">
        <v>1417</v>
      </c>
      <c r="C51" s="57" t="s">
        <v>46</v>
      </c>
      <c r="D51" s="57" t="s">
        <v>47</v>
      </c>
      <c r="E51" s="57" t="s">
        <v>48</v>
      </c>
      <c r="F51" s="58">
        <v>19600</v>
      </c>
      <c r="G51" s="59">
        <v>30</v>
      </c>
      <c r="H51" s="60">
        <v>112.5</v>
      </c>
      <c r="I51" s="61">
        <f t="shared" si="6"/>
        <v>18967.741935483871</v>
      </c>
      <c r="J51" s="61">
        <f t="shared" si="7"/>
        <v>8891.1290322580644</v>
      </c>
      <c r="K51" s="61">
        <f t="shared" ref="K51:K113" si="11">I51+J51</f>
        <v>27858.870967741936</v>
      </c>
      <c r="L51" s="62">
        <v>5</v>
      </c>
      <c r="M51" s="62">
        <v>0</v>
      </c>
      <c r="N51" s="62">
        <v>0</v>
      </c>
      <c r="O51" s="62">
        <v>1800</v>
      </c>
      <c r="P51" s="62">
        <v>153</v>
      </c>
      <c r="Q51" s="64"/>
      <c r="R51" s="61">
        <f t="shared" si="8"/>
        <v>27858.870967741936</v>
      </c>
      <c r="S51" s="61">
        <f t="shared" si="9"/>
        <v>1958</v>
      </c>
      <c r="T51" s="61">
        <f t="shared" si="10"/>
        <v>25900.870967741936</v>
      </c>
    </row>
    <row r="52" spans="1:20" x14ac:dyDescent="0.25">
      <c r="A52" s="55">
        <v>54</v>
      </c>
      <c r="B52" s="56">
        <v>2945</v>
      </c>
      <c r="C52" s="57" t="s">
        <v>111</v>
      </c>
      <c r="D52" s="57" t="s">
        <v>112</v>
      </c>
      <c r="E52" s="57" t="s">
        <v>48</v>
      </c>
      <c r="F52" s="58">
        <v>14300</v>
      </c>
      <c r="G52" s="59">
        <v>31</v>
      </c>
      <c r="H52" s="60">
        <v>131.5</v>
      </c>
      <c r="I52" s="61">
        <f t="shared" si="6"/>
        <v>14300</v>
      </c>
      <c r="J52" s="61">
        <f t="shared" si="7"/>
        <v>7582.4596774193551</v>
      </c>
      <c r="K52" s="61">
        <f t="shared" si="11"/>
        <v>21882.459677419356</v>
      </c>
      <c r="L52" s="62">
        <v>5</v>
      </c>
      <c r="M52" s="62">
        <v>0</v>
      </c>
      <c r="N52" s="62">
        <v>0</v>
      </c>
      <c r="O52" s="62">
        <v>0</v>
      </c>
      <c r="P52" s="62">
        <v>116</v>
      </c>
      <c r="Q52" s="64"/>
      <c r="R52" s="61">
        <f t="shared" si="8"/>
        <v>21882.459677419356</v>
      </c>
      <c r="S52" s="61">
        <f t="shared" si="9"/>
        <v>121</v>
      </c>
      <c r="T52" s="61">
        <f t="shared" si="10"/>
        <v>21761.459677419356</v>
      </c>
    </row>
    <row r="53" spans="1:20" x14ac:dyDescent="0.25">
      <c r="A53" s="55">
        <v>55</v>
      </c>
      <c r="B53" s="56">
        <v>3023</v>
      </c>
      <c r="C53" s="57" t="s">
        <v>117</v>
      </c>
      <c r="D53" s="57" t="s">
        <v>118</v>
      </c>
      <c r="E53" s="57" t="s">
        <v>48</v>
      </c>
      <c r="F53" s="58">
        <v>24000</v>
      </c>
      <c r="G53" s="59">
        <v>31</v>
      </c>
      <c r="H53" s="59">
        <v>131</v>
      </c>
      <c r="I53" s="61">
        <f t="shared" si="6"/>
        <v>24000</v>
      </c>
      <c r="J53" s="61">
        <f t="shared" si="7"/>
        <v>12677.41935483871</v>
      </c>
      <c r="K53" s="61">
        <f t="shared" si="11"/>
        <v>36677.419354838712</v>
      </c>
      <c r="L53" s="62">
        <v>5</v>
      </c>
      <c r="M53" s="62">
        <v>200</v>
      </c>
      <c r="N53" s="62">
        <v>0</v>
      </c>
      <c r="O53" s="62">
        <v>0</v>
      </c>
      <c r="P53" s="62">
        <v>197</v>
      </c>
      <c r="Q53" s="64"/>
      <c r="R53" s="61">
        <f t="shared" si="8"/>
        <v>36677.419354838712</v>
      </c>
      <c r="S53" s="61">
        <f t="shared" si="9"/>
        <v>402</v>
      </c>
      <c r="T53" s="61">
        <f t="shared" si="10"/>
        <v>36275.419354838712</v>
      </c>
    </row>
    <row r="54" spans="1:20" x14ac:dyDescent="0.25">
      <c r="A54" s="55">
        <v>56</v>
      </c>
      <c r="B54" s="56">
        <v>3383</v>
      </c>
      <c r="C54" s="57" t="s">
        <v>144</v>
      </c>
      <c r="D54" s="57" t="s">
        <v>145</v>
      </c>
      <c r="E54" s="57" t="s">
        <v>48</v>
      </c>
      <c r="F54" s="58">
        <v>13000</v>
      </c>
      <c r="G54" s="59">
        <v>29</v>
      </c>
      <c r="H54" s="60">
        <v>95.5</v>
      </c>
      <c r="I54" s="61">
        <f t="shared" si="6"/>
        <v>12161.290322580646</v>
      </c>
      <c r="J54" s="61">
        <f t="shared" si="7"/>
        <v>5006.0483870967746</v>
      </c>
      <c r="K54" s="61">
        <f t="shared" si="11"/>
        <v>17167.33870967742</v>
      </c>
      <c r="L54" s="62">
        <v>5</v>
      </c>
      <c r="M54" s="62">
        <v>0</v>
      </c>
      <c r="N54" s="62">
        <v>4000</v>
      </c>
      <c r="O54" s="62">
        <v>0</v>
      </c>
      <c r="P54" s="62">
        <v>107</v>
      </c>
      <c r="Q54" s="64"/>
      <c r="R54" s="61">
        <f t="shared" si="8"/>
        <v>17167.33870967742</v>
      </c>
      <c r="S54" s="61">
        <f t="shared" si="9"/>
        <v>4112</v>
      </c>
      <c r="T54" s="61">
        <f t="shared" si="10"/>
        <v>13055.33870967742</v>
      </c>
    </row>
    <row r="55" spans="1:20" x14ac:dyDescent="0.25">
      <c r="A55" s="55">
        <v>57</v>
      </c>
      <c r="B55" s="70">
        <v>3643</v>
      </c>
      <c r="C55" s="71" t="s">
        <v>176</v>
      </c>
      <c r="D55" s="57" t="s">
        <v>177</v>
      </c>
      <c r="E55" s="57" t="s">
        <v>48</v>
      </c>
      <c r="F55" s="58">
        <v>15005</v>
      </c>
      <c r="G55" s="59">
        <v>31</v>
      </c>
      <c r="H55" s="60"/>
      <c r="I55" s="61">
        <f t="shared" si="6"/>
        <v>15005</v>
      </c>
      <c r="J55" s="61">
        <f t="shared" si="7"/>
        <v>0</v>
      </c>
      <c r="K55" s="61">
        <f t="shared" si="11"/>
        <v>15005</v>
      </c>
      <c r="L55" s="62">
        <v>5</v>
      </c>
      <c r="M55" s="62">
        <v>0</v>
      </c>
      <c r="N55" s="62">
        <v>0</v>
      </c>
      <c r="O55" s="62">
        <v>0</v>
      </c>
      <c r="P55" s="62">
        <v>0</v>
      </c>
      <c r="Q55" s="64"/>
      <c r="R55" s="61">
        <f t="shared" si="8"/>
        <v>15005</v>
      </c>
      <c r="S55" s="61">
        <f t="shared" si="9"/>
        <v>5</v>
      </c>
      <c r="T55" s="61">
        <f t="shared" si="10"/>
        <v>15000</v>
      </c>
    </row>
    <row r="56" spans="1:20" x14ac:dyDescent="0.25">
      <c r="A56" s="55">
        <v>58</v>
      </c>
      <c r="B56" s="56">
        <v>3725</v>
      </c>
      <c r="C56" s="57" t="s">
        <v>199</v>
      </c>
      <c r="D56" s="57" t="s">
        <v>200</v>
      </c>
      <c r="E56" s="57" t="s">
        <v>48</v>
      </c>
      <c r="F56" s="58">
        <v>13000</v>
      </c>
      <c r="G56" s="59">
        <v>5</v>
      </c>
      <c r="H56" s="60">
        <v>18</v>
      </c>
      <c r="I56" s="61">
        <f t="shared" si="6"/>
        <v>2096.7741935483873</v>
      </c>
      <c r="J56" s="61">
        <f t="shared" si="7"/>
        <v>943.54838709677426</v>
      </c>
      <c r="K56" s="61">
        <f t="shared" si="11"/>
        <v>3040.3225806451615</v>
      </c>
      <c r="L56" s="62">
        <v>5</v>
      </c>
      <c r="M56" s="62">
        <v>0</v>
      </c>
      <c r="N56" s="62">
        <v>0</v>
      </c>
      <c r="O56" s="62">
        <v>0</v>
      </c>
      <c r="P56" s="62">
        <v>33</v>
      </c>
      <c r="Q56" s="64"/>
      <c r="R56" s="61">
        <f t="shared" si="8"/>
        <v>3040.3225806451615</v>
      </c>
      <c r="S56" s="61">
        <f t="shared" si="9"/>
        <v>38</v>
      </c>
      <c r="T56" s="61">
        <f t="shared" si="10"/>
        <v>3002.3225806451615</v>
      </c>
    </row>
    <row r="57" spans="1:20" x14ac:dyDescent="0.25">
      <c r="A57" s="55">
        <v>59</v>
      </c>
      <c r="B57" s="56">
        <v>3951</v>
      </c>
      <c r="C57" s="57" t="s">
        <v>281</v>
      </c>
      <c r="D57" s="57" t="s">
        <v>282</v>
      </c>
      <c r="E57" s="57" t="s">
        <v>48</v>
      </c>
      <c r="F57" s="58">
        <v>14000</v>
      </c>
      <c r="G57" s="59">
        <v>20</v>
      </c>
      <c r="H57" s="60">
        <v>74</v>
      </c>
      <c r="I57" s="61">
        <f t="shared" si="6"/>
        <v>9032.2580645161288</v>
      </c>
      <c r="J57" s="61">
        <f t="shared" si="7"/>
        <v>4177.4193548387102</v>
      </c>
      <c r="K57" s="61">
        <f t="shared" si="11"/>
        <v>13209.677419354839</v>
      </c>
      <c r="L57" s="62">
        <v>5</v>
      </c>
      <c r="M57" s="62">
        <v>0</v>
      </c>
      <c r="N57" s="62">
        <v>2000</v>
      </c>
      <c r="O57" s="62">
        <v>0</v>
      </c>
      <c r="P57" s="62">
        <v>82</v>
      </c>
      <c r="Q57" s="64"/>
      <c r="R57" s="61">
        <f t="shared" si="8"/>
        <v>13209.677419354839</v>
      </c>
      <c r="S57" s="61">
        <f t="shared" si="9"/>
        <v>2087</v>
      </c>
      <c r="T57" s="61">
        <f t="shared" si="10"/>
        <v>11122.677419354839</v>
      </c>
    </row>
    <row r="58" spans="1:20" x14ac:dyDescent="0.25">
      <c r="A58" s="55">
        <v>60</v>
      </c>
      <c r="B58" s="56">
        <v>3955</v>
      </c>
      <c r="C58" s="57" t="s">
        <v>285</v>
      </c>
      <c r="D58" s="57" t="s">
        <v>286</v>
      </c>
      <c r="E58" s="57" t="s">
        <v>48</v>
      </c>
      <c r="F58" s="58">
        <v>12500</v>
      </c>
      <c r="G58" s="59">
        <v>31</v>
      </c>
      <c r="H58" s="60">
        <v>136.5</v>
      </c>
      <c r="I58" s="61">
        <f t="shared" si="6"/>
        <v>12500</v>
      </c>
      <c r="J58" s="61">
        <f t="shared" si="7"/>
        <v>6880.0403225806458</v>
      </c>
      <c r="K58" s="61">
        <f t="shared" si="11"/>
        <v>19380.040322580644</v>
      </c>
      <c r="L58" s="62">
        <v>5</v>
      </c>
      <c r="M58" s="62">
        <v>0</v>
      </c>
      <c r="N58" s="62">
        <v>4000</v>
      </c>
      <c r="O58" s="62">
        <v>0</v>
      </c>
      <c r="P58" s="62">
        <v>114</v>
      </c>
      <c r="Q58" s="64"/>
      <c r="R58" s="61">
        <f t="shared" si="8"/>
        <v>19380.040322580644</v>
      </c>
      <c r="S58" s="61">
        <f t="shared" si="9"/>
        <v>4119</v>
      </c>
      <c r="T58" s="61">
        <f t="shared" si="10"/>
        <v>15261.040322580644</v>
      </c>
    </row>
    <row r="59" spans="1:20" x14ac:dyDescent="0.25">
      <c r="A59" s="55">
        <v>61</v>
      </c>
      <c r="B59" s="56">
        <v>3997</v>
      </c>
      <c r="C59" s="57" t="s">
        <v>313</v>
      </c>
      <c r="D59" s="57" t="s">
        <v>314</v>
      </c>
      <c r="E59" s="57" t="s">
        <v>48</v>
      </c>
      <c r="F59" s="58">
        <v>13800</v>
      </c>
      <c r="G59" s="59">
        <v>28</v>
      </c>
      <c r="H59" s="60">
        <v>107</v>
      </c>
      <c r="I59" s="61">
        <f t="shared" si="6"/>
        <v>12464.516129032259</v>
      </c>
      <c r="J59" s="61">
        <f t="shared" si="7"/>
        <v>5954.0322580645161</v>
      </c>
      <c r="K59" s="61">
        <f t="shared" si="11"/>
        <v>18418.548387096776</v>
      </c>
      <c r="L59" s="62">
        <v>5</v>
      </c>
      <c r="M59" s="62">
        <v>0</v>
      </c>
      <c r="N59" s="62">
        <v>0</v>
      </c>
      <c r="O59" s="62">
        <v>0</v>
      </c>
      <c r="P59" s="62">
        <v>103</v>
      </c>
      <c r="Q59" s="64"/>
      <c r="R59" s="61">
        <f t="shared" si="8"/>
        <v>18418.548387096776</v>
      </c>
      <c r="S59" s="61">
        <f t="shared" si="9"/>
        <v>108</v>
      </c>
      <c r="T59" s="61">
        <f t="shared" si="10"/>
        <v>18310.548387096776</v>
      </c>
    </row>
    <row r="60" spans="1:20" x14ac:dyDescent="0.25">
      <c r="A60" s="55">
        <v>62</v>
      </c>
      <c r="B60" s="56">
        <v>631</v>
      </c>
      <c r="C60" s="57" t="s">
        <v>36</v>
      </c>
      <c r="D60" s="57" t="s">
        <v>37</v>
      </c>
      <c r="E60" s="57" t="s">
        <v>38</v>
      </c>
      <c r="F60" s="58">
        <v>15000</v>
      </c>
      <c r="G60" s="59">
        <v>31</v>
      </c>
      <c r="H60" s="60">
        <v>311.5</v>
      </c>
      <c r="I60" s="61">
        <f t="shared" si="6"/>
        <v>15000</v>
      </c>
      <c r="J60" s="61">
        <f t="shared" si="7"/>
        <v>18840.725806451614</v>
      </c>
      <c r="K60" s="61">
        <f t="shared" si="11"/>
        <v>33840.725806451614</v>
      </c>
      <c r="L60" s="62">
        <v>5</v>
      </c>
      <c r="M60" s="62">
        <v>200</v>
      </c>
      <c r="N60" s="62">
        <v>0</v>
      </c>
      <c r="O60" s="62">
        <v>1800</v>
      </c>
      <c r="P60" s="62">
        <v>124</v>
      </c>
      <c r="Q60" s="64"/>
      <c r="R60" s="61">
        <f t="shared" si="8"/>
        <v>33840.725806451614</v>
      </c>
      <c r="S60" s="61">
        <f t="shared" si="9"/>
        <v>2129</v>
      </c>
      <c r="T60" s="61">
        <f t="shared" si="10"/>
        <v>31711.725806451614</v>
      </c>
    </row>
    <row r="61" spans="1:20" x14ac:dyDescent="0.25">
      <c r="A61" s="55">
        <v>63</v>
      </c>
      <c r="B61" s="56">
        <v>2210</v>
      </c>
      <c r="C61" s="57" t="s">
        <v>70</v>
      </c>
      <c r="D61" s="57" t="s">
        <v>71</v>
      </c>
      <c r="E61" s="57" t="s">
        <v>38</v>
      </c>
      <c r="F61" s="58">
        <v>15100</v>
      </c>
      <c r="G61" s="59">
        <v>16</v>
      </c>
      <c r="H61" s="60">
        <v>133.5</v>
      </c>
      <c r="I61" s="61">
        <f t="shared" si="6"/>
        <v>7793.5483870967746</v>
      </c>
      <c r="J61" s="61">
        <f t="shared" si="7"/>
        <v>8128.427419354839</v>
      </c>
      <c r="K61" s="61">
        <f t="shared" si="11"/>
        <v>15921.975806451614</v>
      </c>
      <c r="L61" s="62">
        <v>5</v>
      </c>
      <c r="M61" s="62">
        <v>0</v>
      </c>
      <c r="N61" s="62">
        <v>0</v>
      </c>
      <c r="O61" s="62">
        <v>0</v>
      </c>
      <c r="P61" s="62">
        <v>74</v>
      </c>
      <c r="Q61" s="64"/>
      <c r="R61" s="61">
        <f t="shared" si="8"/>
        <v>15921.975806451614</v>
      </c>
      <c r="S61" s="61">
        <f t="shared" si="9"/>
        <v>79</v>
      </c>
      <c r="T61" s="61">
        <f t="shared" si="10"/>
        <v>15842.975806451614</v>
      </c>
    </row>
    <row r="62" spans="1:20" x14ac:dyDescent="0.25">
      <c r="A62" s="55">
        <v>64</v>
      </c>
      <c r="B62" s="56">
        <v>3618</v>
      </c>
      <c r="C62" s="57" t="s">
        <v>162</v>
      </c>
      <c r="D62" s="57" t="s">
        <v>163</v>
      </c>
      <c r="E62" s="57" t="s">
        <v>38</v>
      </c>
      <c r="F62" s="58">
        <v>15000</v>
      </c>
      <c r="G62" s="59">
        <v>31</v>
      </c>
      <c r="H62" s="60">
        <v>315</v>
      </c>
      <c r="I62" s="61">
        <f t="shared" si="6"/>
        <v>15000</v>
      </c>
      <c r="J62" s="61">
        <f t="shared" si="7"/>
        <v>19052.419354838708</v>
      </c>
      <c r="K62" s="61">
        <f t="shared" si="11"/>
        <v>34052.419354838712</v>
      </c>
      <c r="L62" s="62">
        <v>5</v>
      </c>
      <c r="M62" s="62">
        <v>0</v>
      </c>
      <c r="N62" s="62">
        <v>0</v>
      </c>
      <c r="O62" s="62">
        <v>0</v>
      </c>
      <c r="P62" s="62">
        <v>119</v>
      </c>
      <c r="Q62" s="64"/>
      <c r="R62" s="61">
        <f t="shared" si="8"/>
        <v>34052.419354838712</v>
      </c>
      <c r="S62" s="61">
        <f t="shared" si="9"/>
        <v>124</v>
      </c>
      <c r="T62" s="61">
        <f t="shared" si="10"/>
        <v>33928.419354838712</v>
      </c>
    </row>
    <row r="63" spans="1:20" x14ac:dyDescent="0.25">
      <c r="A63" s="55">
        <v>65</v>
      </c>
      <c r="B63" s="56">
        <v>4030</v>
      </c>
      <c r="C63" s="57" t="s">
        <v>348</v>
      </c>
      <c r="D63" s="57" t="s">
        <v>349</v>
      </c>
      <c r="E63" s="57" t="s">
        <v>38</v>
      </c>
      <c r="F63" s="58">
        <v>12700</v>
      </c>
      <c r="G63" s="59">
        <v>31</v>
      </c>
      <c r="H63" s="60">
        <v>322.5</v>
      </c>
      <c r="I63" s="61">
        <f t="shared" si="6"/>
        <v>12700</v>
      </c>
      <c r="J63" s="61">
        <f t="shared" si="7"/>
        <v>16515.120967741936</v>
      </c>
      <c r="K63" s="61">
        <f t="shared" si="11"/>
        <v>29215.120967741936</v>
      </c>
      <c r="L63" s="62">
        <v>5</v>
      </c>
      <c r="M63" s="62">
        <v>0</v>
      </c>
      <c r="N63" s="62">
        <v>4000</v>
      </c>
      <c r="O63" s="62">
        <v>0</v>
      </c>
      <c r="P63" s="62">
        <v>114</v>
      </c>
      <c r="Q63" s="64"/>
      <c r="R63" s="61">
        <f t="shared" si="8"/>
        <v>29215.120967741936</v>
      </c>
      <c r="S63" s="61">
        <f t="shared" si="9"/>
        <v>4119</v>
      </c>
      <c r="T63" s="61">
        <f t="shared" si="10"/>
        <v>25096.120967741936</v>
      </c>
    </row>
    <row r="64" spans="1:20" x14ac:dyDescent="0.25">
      <c r="A64" s="55">
        <v>66</v>
      </c>
      <c r="B64" s="56">
        <v>2602</v>
      </c>
      <c r="C64" s="57" t="s">
        <v>80</v>
      </c>
      <c r="D64" s="57" t="s">
        <v>81</v>
      </c>
      <c r="E64" s="57" t="s">
        <v>82</v>
      </c>
      <c r="F64" s="58">
        <v>21300</v>
      </c>
      <c r="G64" s="59">
        <v>31</v>
      </c>
      <c r="H64" s="60">
        <v>163.5</v>
      </c>
      <c r="I64" s="61">
        <f t="shared" si="6"/>
        <v>21300</v>
      </c>
      <c r="J64" s="61">
        <f t="shared" si="7"/>
        <v>14042.540322580646</v>
      </c>
      <c r="K64" s="61">
        <f t="shared" si="11"/>
        <v>35342.540322580644</v>
      </c>
      <c r="L64" s="62">
        <v>5</v>
      </c>
      <c r="M64" s="62">
        <v>200</v>
      </c>
      <c r="N64" s="62">
        <v>5000</v>
      </c>
      <c r="O64" s="62">
        <v>0</v>
      </c>
      <c r="P64" s="62">
        <v>180</v>
      </c>
      <c r="Q64" s="64"/>
      <c r="R64" s="61">
        <f t="shared" si="8"/>
        <v>35342.540322580644</v>
      </c>
      <c r="S64" s="61">
        <f t="shared" si="9"/>
        <v>5385</v>
      </c>
      <c r="T64" s="61">
        <f t="shared" si="10"/>
        <v>29957.540322580644</v>
      </c>
    </row>
    <row r="65" spans="1:20" x14ac:dyDescent="0.25">
      <c r="A65" s="55">
        <v>67</v>
      </c>
      <c r="B65" s="56">
        <v>3329</v>
      </c>
      <c r="C65" s="57" t="s">
        <v>129</v>
      </c>
      <c r="D65" s="57" t="s">
        <v>130</v>
      </c>
      <c r="E65" s="57" t="s">
        <v>82</v>
      </c>
      <c r="F65" s="58">
        <v>18700</v>
      </c>
      <c r="G65" s="59">
        <v>15</v>
      </c>
      <c r="H65" s="59">
        <v>68</v>
      </c>
      <c r="I65" s="61">
        <f t="shared" si="6"/>
        <v>9048.3870967741932</v>
      </c>
      <c r="J65" s="61">
        <f t="shared" si="7"/>
        <v>5127.4193548387102</v>
      </c>
      <c r="K65" s="61">
        <f t="shared" si="11"/>
        <v>14175.806451612903</v>
      </c>
      <c r="L65" s="62">
        <v>5</v>
      </c>
      <c r="M65" s="62">
        <v>0</v>
      </c>
      <c r="N65" s="62">
        <v>0</v>
      </c>
      <c r="O65" s="62">
        <v>0</v>
      </c>
      <c r="P65" s="62">
        <v>87</v>
      </c>
      <c r="Q65" s="64"/>
      <c r="R65" s="61">
        <f t="shared" si="8"/>
        <v>14175.806451612903</v>
      </c>
      <c r="S65" s="61">
        <f t="shared" si="9"/>
        <v>92</v>
      </c>
      <c r="T65" s="61">
        <f t="shared" si="10"/>
        <v>14083.806451612903</v>
      </c>
    </row>
    <row r="66" spans="1:20" x14ac:dyDescent="0.25">
      <c r="A66" s="55">
        <v>68</v>
      </c>
      <c r="B66" s="56">
        <v>3579</v>
      </c>
      <c r="C66" s="57" t="s">
        <v>156</v>
      </c>
      <c r="D66" s="57" t="s">
        <v>157</v>
      </c>
      <c r="E66" s="57" t="s">
        <v>82</v>
      </c>
      <c r="F66" s="58">
        <v>19500</v>
      </c>
      <c r="G66" s="59">
        <v>31</v>
      </c>
      <c r="H66" s="60">
        <v>160.5</v>
      </c>
      <c r="I66" s="61">
        <f t="shared" si="6"/>
        <v>19500</v>
      </c>
      <c r="J66" s="61">
        <f t="shared" si="7"/>
        <v>12619.959677419354</v>
      </c>
      <c r="K66" s="61">
        <f t="shared" si="11"/>
        <v>32119.959677419356</v>
      </c>
      <c r="L66" s="62">
        <v>5</v>
      </c>
      <c r="M66" s="62">
        <v>0</v>
      </c>
      <c r="N66" s="62">
        <v>5000</v>
      </c>
      <c r="O66" s="62">
        <v>0</v>
      </c>
      <c r="P66" s="62">
        <v>164</v>
      </c>
      <c r="Q66" s="64"/>
      <c r="R66" s="61">
        <f t="shared" si="8"/>
        <v>32119.959677419356</v>
      </c>
      <c r="S66" s="61">
        <f t="shared" si="9"/>
        <v>5169</v>
      </c>
      <c r="T66" s="61">
        <f t="shared" si="10"/>
        <v>26950.959677419356</v>
      </c>
    </row>
    <row r="67" spans="1:20" x14ac:dyDescent="0.25">
      <c r="A67" s="55">
        <v>70</v>
      </c>
      <c r="B67" s="56">
        <v>3612</v>
      </c>
      <c r="C67" s="57" t="s">
        <v>160</v>
      </c>
      <c r="D67" s="57" t="s">
        <v>161</v>
      </c>
      <c r="E67" s="57" t="s">
        <v>82</v>
      </c>
      <c r="F67" s="58">
        <v>16000</v>
      </c>
      <c r="G67" s="59">
        <v>31</v>
      </c>
      <c r="H67" s="60">
        <v>164</v>
      </c>
      <c r="I67" s="61">
        <f t="shared" si="6"/>
        <v>16000</v>
      </c>
      <c r="J67" s="61">
        <f t="shared" si="7"/>
        <v>10580.645161290322</v>
      </c>
      <c r="K67" s="61">
        <f t="shared" si="11"/>
        <v>26580.645161290322</v>
      </c>
      <c r="L67" s="62">
        <v>5</v>
      </c>
      <c r="M67" s="62">
        <v>0</v>
      </c>
      <c r="N67" s="62">
        <v>4500</v>
      </c>
      <c r="O67" s="62">
        <v>0</v>
      </c>
      <c r="P67" s="62">
        <v>124</v>
      </c>
      <c r="Q67" s="64"/>
      <c r="R67" s="61">
        <f t="shared" si="8"/>
        <v>26580.645161290322</v>
      </c>
      <c r="S67" s="61">
        <f t="shared" si="9"/>
        <v>4629</v>
      </c>
      <c r="T67" s="61">
        <f t="shared" si="10"/>
        <v>21951.645161290322</v>
      </c>
    </row>
    <row r="68" spans="1:20" x14ac:dyDescent="0.25">
      <c r="A68" s="55">
        <v>71</v>
      </c>
      <c r="B68" s="56">
        <v>3679</v>
      </c>
      <c r="C68" s="57" t="s">
        <v>191</v>
      </c>
      <c r="D68" s="57" t="s">
        <v>192</v>
      </c>
      <c r="E68" s="57" t="s">
        <v>82</v>
      </c>
      <c r="F68" s="58">
        <v>14700</v>
      </c>
      <c r="G68" s="59">
        <v>10</v>
      </c>
      <c r="H68" s="60">
        <v>57.5</v>
      </c>
      <c r="I68" s="61">
        <f t="shared" si="6"/>
        <v>4741.9354838709678</v>
      </c>
      <c r="J68" s="61">
        <f t="shared" si="7"/>
        <v>3408.266129032258</v>
      </c>
      <c r="K68" s="61">
        <f t="shared" si="11"/>
        <v>8150.2016129032254</v>
      </c>
      <c r="L68" s="62">
        <v>5</v>
      </c>
      <c r="M68" s="62">
        <v>0</v>
      </c>
      <c r="N68" s="62">
        <v>0</v>
      </c>
      <c r="O68" s="62">
        <v>0</v>
      </c>
      <c r="P68" s="62">
        <v>56</v>
      </c>
      <c r="Q68" s="64"/>
      <c r="R68" s="61">
        <f t="shared" si="8"/>
        <v>8150.2016129032254</v>
      </c>
      <c r="S68" s="61">
        <f t="shared" si="9"/>
        <v>61</v>
      </c>
      <c r="T68" s="61">
        <f t="shared" si="10"/>
        <v>8089.2016129032254</v>
      </c>
    </row>
    <row r="69" spans="1:20" x14ac:dyDescent="0.25">
      <c r="A69" s="55">
        <v>72</v>
      </c>
      <c r="B69" s="56">
        <v>3819</v>
      </c>
      <c r="C69" s="57" t="s">
        <v>211</v>
      </c>
      <c r="D69" s="57" t="s">
        <v>225</v>
      </c>
      <c r="E69" s="57" t="s">
        <v>82</v>
      </c>
      <c r="F69" s="58">
        <v>14000</v>
      </c>
      <c r="G69" s="59">
        <v>29</v>
      </c>
      <c r="H69" s="60">
        <v>148.5</v>
      </c>
      <c r="I69" s="61">
        <f t="shared" si="6"/>
        <v>13096.774193548388</v>
      </c>
      <c r="J69" s="61">
        <f t="shared" si="7"/>
        <v>8383.0645161290322</v>
      </c>
      <c r="K69" s="61">
        <f t="shared" si="11"/>
        <v>21479.83870967742</v>
      </c>
      <c r="L69" s="62">
        <v>5</v>
      </c>
      <c r="M69" s="62">
        <v>0</v>
      </c>
      <c r="N69" s="62">
        <v>3000</v>
      </c>
      <c r="O69" s="62">
        <v>0</v>
      </c>
      <c r="P69" s="62">
        <v>106</v>
      </c>
      <c r="Q69" s="64"/>
      <c r="R69" s="61">
        <f t="shared" si="8"/>
        <v>21479.83870967742</v>
      </c>
      <c r="S69" s="61">
        <f t="shared" si="9"/>
        <v>3111</v>
      </c>
      <c r="T69" s="61">
        <f t="shared" si="10"/>
        <v>18368.83870967742</v>
      </c>
    </row>
    <row r="70" spans="1:20" x14ac:dyDescent="0.25">
      <c r="A70" s="55">
        <v>73</v>
      </c>
      <c r="B70" s="56">
        <v>4039</v>
      </c>
      <c r="C70" s="57" t="s">
        <v>365</v>
      </c>
      <c r="D70" s="57" t="s">
        <v>366</v>
      </c>
      <c r="E70" s="57" t="s">
        <v>82</v>
      </c>
      <c r="F70" s="58">
        <v>13000</v>
      </c>
      <c r="G70" s="59">
        <v>31</v>
      </c>
      <c r="H70" s="60">
        <v>161</v>
      </c>
      <c r="I70" s="61">
        <f t="shared" si="6"/>
        <v>13000</v>
      </c>
      <c r="J70" s="61">
        <f t="shared" si="7"/>
        <v>8439.5161290322576</v>
      </c>
      <c r="K70" s="61">
        <f t="shared" si="11"/>
        <v>21439.516129032258</v>
      </c>
      <c r="L70" s="62">
        <v>5</v>
      </c>
      <c r="M70" s="62">
        <v>0</v>
      </c>
      <c r="N70" s="62">
        <v>0</v>
      </c>
      <c r="O70" s="62">
        <v>0</v>
      </c>
      <c r="P70" s="62">
        <v>114</v>
      </c>
      <c r="Q70" s="64"/>
      <c r="R70" s="61">
        <f t="shared" si="8"/>
        <v>21439.516129032258</v>
      </c>
      <c r="S70" s="61">
        <f t="shared" si="9"/>
        <v>119</v>
      </c>
      <c r="T70" s="61">
        <f t="shared" si="10"/>
        <v>21320.516129032258</v>
      </c>
    </row>
    <row r="71" spans="1:20" x14ac:dyDescent="0.25">
      <c r="A71" s="55">
        <v>74</v>
      </c>
      <c r="B71" s="56">
        <v>3668</v>
      </c>
      <c r="C71" s="57" t="s">
        <v>188</v>
      </c>
      <c r="D71" s="57" t="s">
        <v>189</v>
      </c>
      <c r="E71" s="57" t="s">
        <v>190</v>
      </c>
      <c r="F71" s="58">
        <v>16700</v>
      </c>
      <c r="G71" s="59">
        <v>26</v>
      </c>
      <c r="H71" s="60">
        <v>134.5</v>
      </c>
      <c r="I71" s="61">
        <f t="shared" si="6"/>
        <v>14006.451612903227</v>
      </c>
      <c r="J71" s="61">
        <f t="shared" si="7"/>
        <v>9057.0564516129034</v>
      </c>
      <c r="K71" s="61">
        <f t="shared" si="11"/>
        <v>23063.508064516129</v>
      </c>
      <c r="L71" s="62">
        <v>5</v>
      </c>
      <c r="M71" s="62">
        <v>0</v>
      </c>
      <c r="N71" s="62">
        <v>4000</v>
      </c>
      <c r="O71" s="62">
        <v>0</v>
      </c>
      <c r="P71" s="62">
        <v>118</v>
      </c>
      <c r="Q71" s="64"/>
      <c r="R71" s="61">
        <f t="shared" si="8"/>
        <v>23063.508064516129</v>
      </c>
      <c r="S71" s="61">
        <f t="shared" si="9"/>
        <v>4123</v>
      </c>
      <c r="T71" s="61">
        <f t="shared" si="10"/>
        <v>18940.508064516129</v>
      </c>
    </row>
    <row r="72" spans="1:20" x14ac:dyDescent="0.25">
      <c r="A72" s="55">
        <v>75</v>
      </c>
      <c r="B72" s="56">
        <v>3839</v>
      </c>
      <c r="C72" s="57" t="s">
        <v>235</v>
      </c>
      <c r="D72" s="57" t="s">
        <v>236</v>
      </c>
      <c r="E72" s="57" t="s">
        <v>190</v>
      </c>
      <c r="F72" s="58">
        <v>12500</v>
      </c>
      <c r="G72" s="59">
        <v>30</v>
      </c>
      <c r="H72" s="60">
        <v>277.5</v>
      </c>
      <c r="I72" s="61">
        <f t="shared" si="6"/>
        <v>12096.774193548388</v>
      </c>
      <c r="J72" s="61">
        <f t="shared" si="7"/>
        <v>13986.895161290324</v>
      </c>
      <c r="K72" s="61">
        <f t="shared" si="11"/>
        <v>26083.669354838712</v>
      </c>
      <c r="L72" s="62">
        <v>5</v>
      </c>
      <c r="M72" s="62">
        <v>0</v>
      </c>
      <c r="N72" s="62">
        <v>0</v>
      </c>
      <c r="O72" s="62">
        <v>0</v>
      </c>
      <c r="P72" s="62">
        <v>110</v>
      </c>
      <c r="Q72" s="64"/>
      <c r="R72" s="61">
        <f t="shared" si="8"/>
        <v>26083.669354838712</v>
      </c>
      <c r="S72" s="61">
        <f t="shared" si="9"/>
        <v>115</v>
      </c>
      <c r="T72" s="61">
        <f t="shared" si="10"/>
        <v>25968.669354838712</v>
      </c>
    </row>
    <row r="73" spans="1:20" x14ac:dyDescent="0.25">
      <c r="A73" s="55">
        <v>76</v>
      </c>
      <c r="B73" s="56">
        <v>3853</v>
      </c>
      <c r="C73" s="57" t="s">
        <v>239</v>
      </c>
      <c r="D73" s="57" t="s">
        <v>240</v>
      </c>
      <c r="E73" s="57" t="s">
        <v>190</v>
      </c>
      <c r="F73" s="58">
        <v>13000</v>
      </c>
      <c r="G73" s="59">
        <v>30</v>
      </c>
      <c r="H73" s="60">
        <v>154.5</v>
      </c>
      <c r="I73" s="61">
        <f t="shared" si="6"/>
        <v>12580.645161290324</v>
      </c>
      <c r="J73" s="61">
        <f t="shared" si="7"/>
        <v>8098.7903225806458</v>
      </c>
      <c r="K73" s="61">
        <f t="shared" si="11"/>
        <v>20679.43548387097</v>
      </c>
      <c r="L73" s="62">
        <v>5</v>
      </c>
      <c r="M73" s="62">
        <v>0</v>
      </c>
      <c r="N73" s="62">
        <v>3000</v>
      </c>
      <c r="O73" s="62">
        <v>0</v>
      </c>
      <c r="P73" s="62">
        <v>110</v>
      </c>
      <c r="Q73" s="64"/>
      <c r="R73" s="61">
        <f t="shared" si="8"/>
        <v>20679.43548387097</v>
      </c>
      <c r="S73" s="61">
        <f t="shared" si="9"/>
        <v>3115</v>
      </c>
      <c r="T73" s="61">
        <f t="shared" si="10"/>
        <v>17564.43548387097</v>
      </c>
    </row>
    <row r="74" spans="1:20" x14ac:dyDescent="0.25">
      <c r="A74" s="55">
        <v>77</v>
      </c>
      <c r="B74" s="56">
        <v>3854</v>
      </c>
      <c r="C74" s="57" t="s">
        <v>241</v>
      </c>
      <c r="D74" s="57" t="s">
        <v>242</v>
      </c>
      <c r="E74" s="57" t="s">
        <v>190</v>
      </c>
      <c r="F74" s="58">
        <v>16500</v>
      </c>
      <c r="G74" s="59">
        <v>9</v>
      </c>
      <c r="H74" s="60">
        <v>43.5</v>
      </c>
      <c r="I74" s="61">
        <f t="shared" si="6"/>
        <v>4790.322580645161</v>
      </c>
      <c r="J74" s="61">
        <f t="shared" si="7"/>
        <v>2894.1532258064517</v>
      </c>
      <c r="K74" s="61">
        <f t="shared" si="11"/>
        <v>7684.4758064516127</v>
      </c>
      <c r="L74" s="62">
        <v>5</v>
      </c>
      <c r="M74" s="62">
        <v>200</v>
      </c>
      <c r="N74" s="62">
        <v>0</v>
      </c>
      <c r="O74" s="62">
        <v>0</v>
      </c>
      <c r="P74" s="62">
        <v>51</v>
      </c>
      <c r="Q74" s="64"/>
      <c r="R74" s="61">
        <f t="shared" si="8"/>
        <v>7684.4758064516127</v>
      </c>
      <c r="S74" s="61">
        <f t="shared" si="9"/>
        <v>256</v>
      </c>
      <c r="T74" s="61">
        <f t="shared" si="10"/>
        <v>7428.4758064516127</v>
      </c>
    </row>
    <row r="75" spans="1:20" x14ac:dyDescent="0.25">
      <c r="A75" s="55">
        <v>78</v>
      </c>
      <c r="B75" s="56">
        <v>3869</v>
      </c>
      <c r="C75" s="57" t="s">
        <v>244</v>
      </c>
      <c r="D75" s="57" t="s">
        <v>245</v>
      </c>
      <c r="E75" s="57" t="s">
        <v>190</v>
      </c>
      <c r="F75" s="58">
        <v>13000</v>
      </c>
      <c r="G75" s="59">
        <v>30</v>
      </c>
      <c r="H75" s="60">
        <v>149</v>
      </c>
      <c r="I75" s="61">
        <f t="shared" si="6"/>
        <v>12580.645161290324</v>
      </c>
      <c r="J75" s="61">
        <f t="shared" si="7"/>
        <v>7810.4838709677424</v>
      </c>
      <c r="K75" s="61">
        <f t="shared" si="11"/>
        <v>20391.129032258068</v>
      </c>
      <c r="L75" s="62">
        <v>5</v>
      </c>
      <c r="M75" s="62">
        <v>0</v>
      </c>
      <c r="N75" s="62">
        <v>3000</v>
      </c>
      <c r="O75" s="62">
        <v>0</v>
      </c>
      <c r="P75" s="62">
        <v>110</v>
      </c>
      <c r="Q75" s="64"/>
      <c r="R75" s="61">
        <f t="shared" si="8"/>
        <v>20391.129032258068</v>
      </c>
      <c r="S75" s="61">
        <f t="shared" si="9"/>
        <v>3115</v>
      </c>
      <c r="T75" s="61">
        <f t="shared" si="10"/>
        <v>17276.129032258068</v>
      </c>
    </row>
    <row r="76" spans="1:20" x14ac:dyDescent="0.25">
      <c r="A76" s="55">
        <v>79</v>
      </c>
      <c r="B76" s="56">
        <v>3989</v>
      </c>
      <c r="C76" s="57" t="s">
        <v>305</v>
      </c>
      <c r="D76" s="57" t="s">
        <v>306</v>
      </c>
      <c r="E76" s="57" t="s">
        <v>190</v>
      </c>
      <c r="F76" s="58">
        <v>13000</v>
      </c>
      <c r="G76" s="59">
        <v>30</v>
      </c>
      <c r="H76" s="60">
        <v>257.5</v>
      </c>
      <c r="I76" s="61">
        <f t="shared" si="6"/>
        <v>12580.645161290324</v>
      </c>
      <c r="J76" s="61">
        <f t="shared" si="7"/>
        <v>13497.983870967742</v>
      </c>
      <c r="K76" s="61">
        <f t="shared" si="11"/>
        <v>26078.629032258068</v>
      </c>
      <c r="L76" s="62">
        <v>5</v>
      </c>
      <c r="M76" s="62">
        <v>0</v>
      </c>
      <c r="N76" s="62">
        <v>4000</v>
      </c>
      <c r="O76" s="62">
        <v>0</v>
      </c>
      <c r="P76" s="62">
        <v>110</v>
      </c>
      <c r="Q76" s="64"/>
      <c r="R76" s="61">
        <f t="shared" si="8"/>
        <v>26078.629032258068</v>
      </c>
      <c r="S76" s="61">
        <f t="shared" si="9"/>
        <v>4115</v>
      </c>
      <c r="T76" s="61">
        <f t="shared" si="10"/>
        <v>21963.629032258068</v>
      </c>
    </row>
    <row r="77" spans="1:20" x14ac:dyDescent="0.25">
      <c r="A77" s="55">
        <v>80</v>
      </c>
      <c r="B77" s="56">
        <v>3990</v>
      </c>
      <c r="C77" s="57" t="s">
        <v>307</v>
      </c>
      <c r="D77" s="57" t="s">
        <v>308</v>
      </c>
      <c r="E77" s="57" t="s">
        <v>190</v>
      </c>
      <c r="F77" s="58">
        <v>13000</v>
      </c>
      <c r="G77" s="59">
        <v>17</v>
      </c>
      <c r="H77" s="60">
        <v>79.5</v>
      </c>
      <c r="I77" s="61">
        <f t="shared" si="6"/>
        <v>7129.0322580645161</v>
      </c>
      <c r="J77" s="61">
        <f t="shared" si="7"/>
        <v>4167.3387096774195</v>
      </c>
      <c r="K77" s="61">
        <f t="shared" si="11"/>
        <v>11296.370967741936</v>
      </c>
      <c r="L77" s="62">
        <v>5</v>
      </c>
      <c r="M77" s="62">
        <v>0</v>
      </c>
      <c r="N77" s="62">
        <v>0</v>
      </c>
      <c r="O77" s="62">
        <v>0</v>
      </c>
      <c r="P77" s="62">
        <v>70</v>
      </c>
      <c r="Q77" s="64"/>
      <c r="R77" s="61">
        <f t="shared" si="8"/>
        <v>11296.370967741936</v>
      </c>
      <c r="S77" s="61">
        <f t="shared" si="9"/>
        <v>75</v>
      </c>
      <c r="T77" s="61">
        <f t="shared" si="10"/>
        <v>11221.370967741936</v>
      </c>
    </row>
    <row r="78" spans="1:20" x14ac:dyDescent="0.25">
      <c r="A78" s="55">
        <v>81</v>
      </c>
      <c r="B78" s="56">
        <v>4056</v>
      </c>
      <c r="C78" s="57" t="s">
        <v>397</v>
      </c>
      <c r="D78" s="57" t="s">
        <v>398</v>
      </c>
      <c r="E78" s="57" t="s">
        <v>190</v>
      </c>
      <c r="F78" s="58">
        <v>15500</v>
      </c>
      <c r="G78" s="59">
        <v>20</v>
      </c>
      <c r="H78" s="60">
        <v>124</v>
      </c>
      <c r="I78" s="61">
        <f t="shared" si="6"/>
        <v>10000</v>
      </c>
      <c r="J78" s="61">
        <f t="shared" si="7"/>
        <v>7750</v>
      </c>
      <c r="K78" s="61">
        <f t="shared" si="11"/>
        <v>17750</v>
      </c>
      <c r="L78" s="62">
        <v>5</v>
      </c>
      <c r="M78" s="62">
        <v>0</v>
      </c>
      <c r="N78" s="62">
        <v>5300</v>
      </c>
      <c r="O78" s="62">
        <v>0</v>
      </c>
      <c r="P78" s="62">
        <v>73</v>
      </c>
      <c r="Q78" s="64"/>
      <c r="R78" s="61">
        <f t="shared" si="8"/>
        <v>17750</v>
      </c>
      <c r="S78" s="61">
        <f t="shared" si="9"/>
        <v>5378</v>
      </c>
      <c r="T78" s="61">
        <f t="shared" si="10"/>
        <v>12372</v>
      </c>
    </row>
    <row r="79" spans="1:20" x14ac:dyDescent="0.25">
      <c r="A79" s="55">
        <v>82</v>
      </c>
      <c r="B79" s="56">
        <v>4069</v>
      </c>
      <c r="C79" s="57" t="s">
        <v>421</v>
      </c>
      <c r="D79" s="57" t="s">
        <v>422</v>
      </c>
      <c r="E79" s="57" t="s">
        <v>190</v>
      </c>
      <c r="F79" s="58">
        <v>15500</v>
      </c>
      <c r="G79" s="59">
        <v>6</v>
      </c>
      <c r="H79" s="60">
        <v>151</v>
      </c>
      <c r="I79" s="61">
        <f t="shared" si="6"/>
        <v>3000</v>
      </c>
      <c r="J79" s="61">
        <f t="shared" si="7"/>
        <v>9437.5</v>
      </c>
      <c r="K79" s="61">
        <f t="shared" si="11"/>
        <v>12437.5</v>
      </c>
      <c r="L79" s="62">
        <v>5</v>
      </c>
      <c r="M79" s="62">
        <v>0</v>
      </c>
      <c r="N79" s="62">
        <v>0</v>
      </c>
      <c r="O79" s="62">
        <v>0</v>
      </c>
      <c r="P79" s="62">
        <v>26</v>
      </c>
      <c r="Q79" s="64"/>
      <c r="R79" s="61">
        <f t="shared" si="8"/>
        <v>12437.5</v>
      </c>
      <c r="S79" s="61">
        <f t="shared" si="9"/>
        <v>31</v>
      </c>
      <c r="T79" s="61">
        <f t="shared" si="10"/>
        <v>12406.5</v>
      </c>
    </row>
    <row r="80" spans="1:20" x14ac:dyDescent="0.25">
      <c r="A80" s="55">
        <v>83</v>
      </c>
      <c r="B80" s="56">
        <v>4074</v>
      </c>
      <c r="C80" s="57" t="s">
        <v>431</v>
      </c>
      <c r="D80" s="57" t="s">
        <v>432</v>
      </c>
      <c r="E80" s="57" t="s">
        <v>190</v>
      </c>
      <c r="F80" s="58">
        <v>12000</v>
      </c>
      <c r="G80" s="59">
        <v>7</v>
      </c>
      <c r="H80" s="60">
        <v>89</v>
      </c>
      <c r="I80" s="61">
        <f t="shared" si="6"/>
        <v>2709.677419354839</v>
      </c>
      <c r="J80" s="61">
        <f t="shared" si="7"/>
        <v>4306.4516129032263</v>
      </c>
      <c r="K80" s="61">
        <f t="shared" si="11"/>
        <v>7016.1290322580653</v>
      </c>
      <c r="L80" s="62">
        <v>5</v>
      </c>
      <c r="M80" s="62">
        <v>0</v>
      </c>
      <c r="N80" s="62">
        <v>0</v>
      </c>
      <c r="O80" s="62">
        <v>0</v>
      </c>
      <c r="P80" s="62">
        <v>0</v>
      </c>
      <c r="Q80" s="64"/>
      <c r="R80" s="61">
        <f t="shared" si="8"/>
        <v>7016.1290322580653</v>
      </c>
      <c r="S80" s="61">
        <f t="shared" si="9"/>
        <v>5</v>
      </c>
      <c r="T80" s="61">
        <f t="shared" si="10"/>
        <v>7011.1290322580653</v>
      </c>
    </row>
    <row r="81" spans="1:20" x14ac:dyDescent="0.25">
      <c r="A81" s="55">
        <v>84</v>
      </c>
      <c r="B81" s="56">
        <v>1547</v>
      </c>
      <c r="C81" s="57" t="s">
        <v>49</v>
      </c>
      <c r="D81" s="57" t="s">
        <v>50</v>
      </c>
      <c r="E81" s="57" t="s">
        <v>51</v>
      </c>
      <c r="F81" s="58">
        <v>25700</v>
      </c>
      <c r="G81" s="59">
        <v>28</v>
      </c>
      <c r="H81" s="60">
        <v>109.5</v>
      </c>
      <c r="I81" s="61">
        <f t="shared" si="6"/>
        <v>23212.903225806451</v>
      </c>
      <c r="J81" s="61">
        <f t="shared" si="7"/>
        <v>11347.379032258064</v>
      </c>
      <c r="K81" s="61">
        <f t="shared" si="11"/>
        <v>34560.282258064515</v>
      </c>
      <c r="L81" s="62">
        <v>5</v>
      </c>
      <c r="M81" s="62">
        <v>200</v>
      </c>
      <c r="N81" s="62">
        <v>0</v>
      </c>
      <c r="O81" s="62">
        <v>0</v>
      </c>
      <c r="P81" s="62">
        <v>0</v>
      </c>
      <c r="Q81" s="64"/>
      <c r="R81" s="61">
        <f t="shared" si="8"/>
        <v>34560.282258064515</v>
      </c>
      <c r="S81" s="61">
        <f t="shared" si="9"/>
        <v>205</v>
      </c>
      <c r="T81" s="61">
        <f t="shared" si="10"/>
        <v>34355.282258064515</v>
      </c>
    </row>
    <row r="82" spans="1:20" x14ac:dyDescent="0.25">
      <c r="A82" s="55">
        <v>85</v>
      </c>
      <c r="B82" s="56">
        <v>1695</v>
      </c>
      <c r="C82" s="57" t="s">
        <v>57</v>
      </c>
      <c r="D82" s="57" t="s">
        <v>58</v>
      </c>
      <c r="E82" s="57" t="s">
        <v>51</v>
      </c>
      <c r="F82" s="58">
        <v>19200</v>
      </c>
      <c r="G82" s="59">
        <v>30</v>
      </c>
      <c r="H82" s="60">
        <v>134.5</v>
      </c>
      <c r="I82" s="61">
        <f t="shared" si="6"/>
        <v>18580.645161290322</v>
      </c>
      <c r="J82" s="61">
        <f t="shared" si="7"/>
        <v>10412.903225806453</v>
      </c>
      <c r="K82" s="61">
        <f t="shared" si="11"/>
        <v>28993.548387096773</v>
      </c>
      <c r="L82" s="62">
        <v>5</v>
      </c>
      <c r="M82" s="62">
        <v>200</v>
      </c>
      <c r="N82" s="62">
        <v>4000</v>
      </c>
      <c r="O82" s="62">
        <v>0</v>
      </c>
      <c r="P82" s="62">
        <v>175</v>
      </c>
      <c r="Q82" s="64"/>
      <c r="R82" s="61">
        <f t="shared" si="8"/>
        <v>28993.548387096773</v>
      </c>
      <c r="S82" s="61">
        <f t="shared" si="9"/>
        <v>4380</v>
      </c>
      <c r="T82" s="61">
        <f t="shared" si="10"/>
        <v>24613.548387096773</v>
      </c>
    </row>
    <row r="83" spans="1:20" x14ac:dyDescent="0.25">
      <c r="A83" s="55">
        <v>86</v>
      </c>
      <c r="B83" s="56">
        <v>2623</v>
      </c>
      <c r="C83" s="57" t="s">
        <v>83</v>
      </c>
      <c r="D83" s="57" t="s">
        <v>84</v>
      </c>
      <c r="E83" s="57" t="s">
        <v>51</v>
      </c>
      <c r="F83" s="58">
        <v>14500</v>
      </c>
      <c r="G83" s="59">
        <v>30</v>
      </c>
      <c r="H83" s="60">
        <v>98</v>
      </c>
      <c r="I83" s="61">
        <f t="shared" si="6"/>
        <v>14032.258064516129</v>
      </c>
      <c r="J83" s="61">
        <f t="shared" si="7"/>
        <v>5729.8387096774195</v>
      </c>
      <c r="K83" s="61">
        <f t="shared" si="11"/>
        <v>19762.096774193549</v>
      </c>
      <c r="L83" s="62">
        <v>5</v>
      </c>
      <c r="M83" s="62">
        <v>0</v>
      </c>
      <c r="N83" s="62">
        <v>0</v>
      </c>
      <c r="O83" s="62">
        <v>0</v>
      </c>
      <c r="P83" s="62">
        <v>110</v>
      </c>
      <c r="Q83" s="64"/>
      <c r="R83" s="61">
        <f t="shared" si="8"/>
        <v>19762.096774193549</v>
      </c>
      <c r="S83" s="61">
        <f t="shared" si="9"/>
        <v>115</v>
      </c>
      <c r="T83" s="61">
        <f t="shared" si="10"/>
        <v>19647.096774193549</v>
      </c>
    </row>
    <row r="84" spans="1:20" x14ac:dyDescent="0.25">
      <c r="A84" s="55">
        <v>87</v>
      </c>
      <c r="B84" s="56">
        <v>2713</v>
      </c>
      <c r="C84" s="57" t="s">
        <v>93</v>
      </c>
      <c r="D84" s="57" t="s">
        <v>94</v>
      </c>
      <c r="E84" s="57" t="s">
        <v>51</v>
      </c>
      <c r="F84" s="58">
        <v>13500</v>
      </c>
      <c r="G84" s="59">
        <v>26</v>
      </c>
      <c r="H84" s="60">
        <v>86</v>
      </c>
      <c r="I84" s="61">
        <f t="shared" si="6"/>
        <v>11322.580645161292</v>
      </c>
      <c r="J84" s="61">
        <f t="shared" si="7"/>
        <v>4681.4516129032263</v>
      </c>
      <c r="K84" s="61">
        <f t="shared" si="11"/>
        <v>16004.032258064519</v>
      </c>
      <c r="L84" s="62">
        <v>5</v>
      </c>
      <c r="M84" s="62">
        <v>0</v>
      </c>
      <c r="N84" s="62">
        <v>0</v>
      </c>
      <c r="O84" s="62">
        <v>0</v>
      </c>
      <c r="P84" s="62">
        <v>101</v>
      </c>
      <c r="Q84" s="64"/>
      <c r="R84" s="61">
        <f t="shared" si="8"/>
        <v>16004.032258064519</v>
      </c>
      <c r="S84" s="61">
        <f t="shared" si="9"/>
        <v>106</v>
      </c>
      <c r="T84" s="61">
        <f t="shared" si="10"/>
        <v>15898.032258064519</v>
      </c>
    </row>
    <row r="85" spans="1:20" x14ac:dyDescent="0.25">
      <c r="A85" s="55">
        <v>88</v>
      </c>
      <c r="B85" s="56">
        <v>2935</v>
      </c>
      <c r="C85" s="57" t="s">
        <v>109</v>
      </c>
      <c r="D85" s="57" t="s">
        <v>110</v>
      </c>
      <c r="E85" s="57" t="s">
        <v>51</v>
      </c>
      <c r="F85" s="58">
        <v>15700</v>
      </c>
      <c r="G85" s="59">
        <v>26</v>
      </c>
      <c r="H85" s="60">
        <v>89</v>
      </c>
      <c r="I85" s="61">
        <f t="shared" si="6"/>
        <v>13167.741935483871</v>
      </c>
      <c r="J85" s="61">
        <f t="shared" si="7"/>
        <v>5634.2741935483873</v>
      </c>
      <c r="K85" s="61">
        <f t="shared" si="11"/>
        <v>18802.016129032258</v>
      </c>
      <c r="L85" s="62">
        <v>5</v>
      </c>
      <c r="M85" s="62">
        <v>0</v>
      </c>
      <c r="N85" s="62">
        <v>0</v>
      </c>
      <c r="O85" s="62">
        <v>0</v>
      </c>
      <c r="P85" s="62">
        <v>105</v>
      </c>
      <c r="Q85" s="64"/>
      <c r="R85" s="61">
        <f t="shared" si="8"/>
        <v>18802.016129032258</v>
      </c>
      <c r="S85" s="61">
        <f t="shared" si="9"/>
        <v>110</v>
      </c>
      <c r="T85" s="61">
        <f t="shared" si="10"/>
        <v>18692.016129032258</v>
      </c>
    </row>
    <row r="86" spans="1:20" x14ac:dyDescent="0.25">
      <c r="A86" s="55">
        <v>89</v>
      </c>
      <c r="B86" s="56">
        <v>3720</v>
      </c>
      <c r="C86" s="57" t="s">
        <v>197</v>
      </c>
      <c r="D86" s="57" t="s">
        <v>198</v>
      </c>
      <c r="E86" s="57" t="s">
        <v>51</v>
      </c>
      <c r="F86" s="58">
        <v>12500</v>
      </c>
      <c r="G86" s="59">
        <v>13</v>
      </c>
      <c r="H86" s="60">
        <v>63.5</v>
      </c>
      <c r="I86" s="61">
        <f t="shared" si="6"/>
        <v>5241.9354838709678</v>
      </c>
      <c r="J86" s="61">
        <f t="shared" si="7"/>
        <v>3200.6048387096776</v>
      </c>
      <c r="K86" s="61">
        <f t="shared" si="11"/>
        <v>8442.5403225806458</v>
      </c>
      <c r="L86" s="62">
        <v>5</v>
      </c>
      <c r="M86" s="62">
        <v>0</v>
      </c>
      <c r="N86" s="62">
        <v>1000</v>
      </c>
      <c r="O86" s="62">
        <v>0</v>
      </c>
      <c r="P86" s="62">
        <v>59</v>
      </c>
      <c r="Q86" s="64"/>
      <c r="R86" s="61">
        <f t="shared" si="8"/>
        <v>8442.5403225806458</v>
      </c>
      <c r="S86" s="61">
        <f t="shared" si="9"/>
        <v>1064</v>
      </c>
      <c r="T86" s="61">
        <f t="shared" si="10"/>
        <v>7378.5403225806458</v>
      </c>
    </row>
    <row r="87" spans="1:20" x14ac:dyDescent="0.25">
      <c r="A87" s="55">
        <v>90</v>
      </c>
      <c r="B87" s="56">
        <v>3924</v>
      </c>
      <c r="C87" s="57" t="s">
        <v>239</v>
      </c>
      <c r="D87" s="57" t="s">
        <v>260</v>
      </c>
      <c r="E87" s="57" t="s">
        <v>51</v>
      </c>
      <c r="F87" s="58">
        <v>13500</v>
      </c>
      <c r="G87" s="59">
        <v>30</v>
      </c>
      <c r="H87" s="60">
        <v>94</v>
      </c>
      <c r="I87" s="61">
        <f t="shared" si="6"/>
        <v>13064.516129032258</v>
      </c>
      <c r="J87" s="61">
        <f t="shared" si="7"/>
        <v>5116.9354838709678</v>
      </c>
      <c r="K87" s="61">
        <f t="shared" si="11"/>
        <v>18181.451612903227</v>
      </c>
      <c r="L87" s="62">
        <v>5</v>
      </c>
      <c r="M87" s="62">
        <v>0</v>
      </c>
      <c r="N87" s="62">
        <v>4500</v>
      </c>
      <c r="O87" s="62">
        <v>0</v>
      </c>
      <c r="P87" s="62">
        <v>110</v>
      </c>
      <c r="Q87" s="64"/>
      <c r="R87" s="61">
        <f t="shared" si="8"/>
        <v>18181.451612903227</v>
      </c>
      <c r="S87" s="61">
        <f t="shared" si="9"/>
        <v>4615</v>
      </c>
      <c r="T87" s="61">
        <f t="shared" si="10"/>
        <v>13566.451612903227</v>
      </c>
    </row>
    <row r="88" spans="1:20" x14ac:dyDescent="0.25">
      <c r="A88" s="55">
        <v>91</v>
      </c>
      <c r="B88" s="56">
        <v>3928</v>
      </c>
      <c r="C88" s="57" t="s">
        <v>261</v>
      </c>
      <c r="D88" s="57" t="s">
        <v>262</v>
      </c>
      <c r="E88" s="57" t="s">
        <v>51</v>
      </c>
      <c r="F88" s="58">
        <v>17500</v>
      </c>
      <c r="G88" s="59">
        <v>12</v>
      </c>
      <c r="H88" s="60">
        <v>47.5</v>
      </c>
      <c r="I88" s="61">
        <f t="shared" si="6"/>
        <v>6774.1935483870966</v>
      </c>
      <c r="J88" s="61">
        <f t="shared" si="7"/>
        <v>3351.8145161290322</v>
      </c>
      <c r="K88" s="61">
        <f t="shared" si="11"/>
        <v>10126.008064516129</v>
      </c>
      <c r="L88" s="62">
        <v>5</v>
      </c>
      <c r="M88" s="62">
        <v>0</v>
      </c>
      <c r="N88" s="62">
        <v>0</v>
      </c>
      <c r="O88" s="62">
        <v>0</v>
      </c>
      <c r="P88" s="62">
        <v>69</v>
      </c>
      <c r="Q88" s="64"/>
      <c r="R88" s="61">
        <f t="shared" si="8"/>
        <v>10126.008064516129</v>
      </c>
      <c r="S88" s="61">
        <f t="shared" si="9"/>
        <v>74</v>
      </c>
      <c r="T88" s="61">
        <f t="shared" si="10"/>
        <v>10052.008064516129</v>
      </c>
    </row>
    <row r="89" spans="1:20" x14ac:dyDescent="0.25">
      <c r="A89" s="55">
        <v>92</v>
      </c>
      <c r="B89" s="56">
        <v>3931</v>
      </c>
      <c r="C89" s="57" t="s">
        <v>263</v>
      </c>
      <c r="D89" s="57" t="s">
        <v>264</v>
      </c>
      <c r="E89" s="57" t="s">
        <v>51</v>
      </c>
      <c r="F89" s="58">
        <v>12000</v>
      </c>
      <c r="G89" s="59">
        <v>29</v>
      </c>
      <c r="H89" s="60">
        <v>118</v>
      </c>
      <c r="I89" s="61">
        <f t="shared" si="6"/>
        <v>11225.806451612903</v>
      </c>
      <c r="J89" s="61">
        <f t="shared" si="7"/>
        <v>5709.677419354839</v>
      </c>
      <c r="K89" s="61">
        <f t="shared" si="11"/>
        <v>16935.483870967742</v>
      </c>
      <c r="L89" s="62">
        <v>5</v>
      </c>
      <c r="M89" s="62">
        <v>0</v>
      </c>
      <c r="N89" s="62">
        <v>3000</v>
      </c>
      <c r="O89" s="62">
        <v>0</v>
      </c>
      <c r="P89" s="62">
        <v>106</v>
      </c>
      <c r="Q89" s="64"/>
      <c r="R89" s="61">
        <f t="shared" si="8"/>
        <v>16935.483870967742</v>
      </c>
      <c r="S89" s="61">
        <f t="shared" si="9"/>
        <v>3111</v>
      </c>
      <c r="T89" s="61">
        <f t="shared" si="10"/>
        <v>13824.483870967742</v>
      </c>
    </row>
    <row r="90" spans="1:20" x14ac:dyDescent="0.25">
      <c r="A90" s="55">
        <v>93</v>
      </c>
      <c r="B90" s="56">
        <v>3952</v>
      </c>
      <c r="C90" s="57" t="s">
        <v>283</v>
      </c>
      <c r="D90" s="57" t="s">
        <v>284</v>
      </c>
      <c r="E90" s="57" t="s">
        <v>51</v>
      </c>
      <c r="F90" s="58">
        <v>13000</v>
      </c>
      <c r="G90" s="59">
        <v>28</v>
      </c>
      <c r="H90" s="60">
        <v>123.5</v>
      </c>
      <c r="I90" s="61">
        <f t="shared" si="6"/>
        <v>11741.935483870968</v>
      </c>
      <c r="J90" s="61">
        <f t="shared" si="7"/>
        <v>6473.7903225806458</v>
      </c>
      <c r="K90" s="61">
        <f t="shared" si="11"/>
        <v>18215.725806451614</v>
      </c>
      <c r="L90" s="62">
        <v>5</v>
      </c>
      <c r="M90" s="62">
        <v>0</v>
      </c>
      <c r="N90" s="62">
        <v>0</v>
      </c>
      <c r="O90" s="62">
        <v>0</v>
      </c>
      <c r="P90" s="62">
        <v>103</v>
      </c>
      <c r="Q90" s="64"/>
      <c r="R90" s="61">
        <f t="shared" si="8"/>
        <v>18215.725806451614</v>
      </c>
      <c r="S90" s="61">
        <f t="shared" si="9"/>
        <v>108</v>
      </c>
      <c r="T90" s="61">
        <f t="shared" si="10"/>
        <v>18107.725806451614</v>
      </c>
    </row>
    <row r="91" spans="1:20" x14ac:dyDescent="0.25">
      <c r="A91" s="55">
        <v>94</v>
      </c>
      <c r="B91" s="56">
        <v>3972</v>
      </c>
      <c r="C91" s="57" t="s">
        <v>291</v>
      </c>
      <c r="D91" s="57" t="s">
        <v>236</v>
      </c>
      <c r="E91" s="57" t="s">
        <v>51</v>
      </c>
      <c r="F91" s="58">
        <v>12000</v>
      </c>
      <c r="G91" s="59">
        <v>30</v>
      </c>
      <c r="H91" s="60">
        <v>112.5</v>
      </c>
      <c r="I91" s="61">
        <f t="shared" si="6"/>
        <v>11612.903225806453</v>
      </c>
      <c r="J91" s="61">
        <f t="shared" si="7"/>
        <v>5443.5483870967746</v>
      </c>
      <c r="K91" s="61">
        <f t="shared" si="11"/>
        <v>17056.451612903227</v>
      </c>
      <c r="L91" s="62">
        <v>5</v>
      </c>
      <c r="M91" s="62">
        <v>0</v>
      </c>
      <c r="N91" s="62">
        <v>2500</v>
      </c>
      <c r="O91" s="62">
        <v>0</v>
      </c>
      <c r="P91" s="62">
        <v>110</v>
      </c>
      <c r="Q91" s="64"/>
      <c r="R91" s="61">
        <f t="shared" si="8"/>
        <v>17056.451612903227</v>
      </c>
      <c r="S91" s="61">
        <f t="shared" si="9"/>
        <v>2615</v>
      </c>
      <c r="T91" s="61">
        <f t="shared" si="10"/>
        <v>14441.451612903227</v>
      </c>
    </row>
    <row r="92" spans="1:20" x14ac:dyDescent="0.25">
      <c r="A92" s="55">
        <v>95</v>
      </c>
      <c r="B92" s="56">
        <v>3979</v>
      </c>
      <c r="C92" s="57" t="s">
        <v>298</v>
      </c>
      <c r="D92" s="57" t="s">
        <v>299</v>
      </c>
      <c r="E92" s="57" t="s">
        <v>51</v>
      </c>
      <c r="F92" s="58">
        <v>12000</v>
      </c>
      <c r="G92" s="59">
        <v>24</v>
      </c>
      <c r="H92" s="60">
        <v>103</v>
      </c>
      <c r="I92" s="61">
        <f t="shared" si="6"/>
        <v>9290.3225806451628</v>
      </c>
      <c r="J92" s="61">
        <f t="shared" si="7"/>
        <v>4983.8709677419356</v>
      </c>
      <c r="K92" s="61">
        <f t="shared" si="11"/>
        <v>14274.193548387098</v>
      </c>
      <c r="L92" s="62">
        <v>5</v>
      </c>
      <c r="M92" s="62">
        <v>0</v>
      </c>
      <c r="N92" s="62">
        <v>2500</v>
      </c>
      <c r="O92" s="62">
        <v>0</v>
      </c>
      <c r="P92" s="62">
        <v>88</v>
      </c>
      <c r="Q92" s="64"/>
      <c r="R92" s="61">
        <f t="shared" si="8"/>
        <v>14274.193548387098</v>
      </c>
      <c r="S92" s="61">
        <f t="shared" si="9"/>
        <v>2593</v>
      </c>
      <c r="T92" s="61">
        <f t="shared" si="10"/>
        <v>11681.193548387098</v>
      </c>
    </row>
    <row r="93" spans="1:20" x14ac:dyDescent="0.25">
      <c r="A93" s="55">
        <v>96</v>
      </c>
      <c r="B93" s="56">
        <v>3981</v>
      </c>
      <c r="C93" s="57" t="s">
        <v>302</v>
      </c>
      <c r="D93" s="57" t="s">
        <v>303</v>
      </c>
      <c r="E93" s="57" t="s">
        <v>51</v>
      </c>
      <c r="F93" s="58">
        <v>12500</v>
      </c>
      <c r="G93" s="59">
        <v>29</v>
      </c>
      <c r="H93" s="60">
        <v>110</v>
      </c>
      <c r="I93" s="61">
        <f t="shared" si="6"/>
        <v>11693.548387096775</v>
      </c>
      <c r="J93" s="61">
        <f t="shared" si="7"/>
        <v>5544.354838709678</v>
      </c>
      <c r="K93" s="61">
        <f t="shared" si="11"/>
        <v>17237.903225806454</v>
      </c>
      <c r="L93" s="62">
        <v>5</v>
      </c>
      <c r="M93" s="62">
        <v>0</v>
      </c>
      <c r="N93" s="62">
        <v>500</v>
      </c>
      <c r="O93" s="62">
        <v>0</v>
      </c>
      <c r="P93" s="62">
        <v>106</v>
      </c>
      <c r="Q93" s="64"/>
      <c r="R93" s="61">
        <f t="shared" si="8"/>
        <v>17237.903225806454</v>
      </c>
      <c r="S93" s="61">
        <f t="shared" si="9"/>
        <v>611</v>
      </c>
      <c r="T93" s="61">
        <f t="shared" si="10"/>
        <v>16626.903225806454</v>
      </c>
    </row>
    <row r="94" spans="1:20" x14ac:dyDescent="0.25">
      <c r="A94" s="55">
        <v>97</v>
      </c>
      <c r="B94" s="56">
        <v>4007</v>
      </c>
      <c r="C94" s="57" t="s">
        <v>319</v>
      </c>
      <c r="D94" s="57" t="s">
        <v>320</v>
      </c>
      <c r="E94" s="57" t="s">
        <v>51</v>
      </c>
      <c r="F94" s="58">
        <v>12000</v>
      </c>
      <c r="G94" s="59">
        <v>29</v>
      </c>
      <c r="H94" s="60">
        <v>130</v>
      </c>
      <c r="I94" s="61">
        <f t="shared" si="6"/>
        <v>11225.806451612903</v>
      </c>
      <c r="J94" s="61">
        <f t="shared" si="7"/>
        <v>6290.3225806451619</v>
      </c>
      <c r="K94" s="61">
        <f t="shared" si="11"/>
        <v>17516.129032258064</v>
      </c>
      <c r="L94" s="62">
        <v>5</v>
      </c>
      <c r="M94" s="62">
        <v>0</v>
      </c>
      <c r="N94" s="62">
        <v>3500</v>
      </c>
      <c r="O94" s="62">
        <v>0</v>
      </c>
      <c r="P94" s="62">
        <v>106</v>
      </c>
      <c r="Q94" s="64"/>
      <c r="R94" s="61">
        <f t="shared" si="8"/>
        <v>17516.129032258064</v>
      </c>
      <c r="S94" s="61">
        <f t="shared" si="9"/>
        <v>3611</v>
      </c>
      <c r="T94" s="61">
        <f t="shared" si="10"/>
        <v>13905.129032258064</v>
      </c>
    </row>
    <row r="95" spans="1:20" x14ac:dyDescent="0.25">
      <c r="A95" s="55">
        <v>98</v>
      </c>
      <c r="B95" s="56">
        <v>4009</v>
      </c>
      <c r="C95" s="57" t="s">
        <v>321</v>
      </c>
      <c r="D95" s="57" t="s">
        <v>322</v>
      </c>
      <c r="E95" s="57" t="s">
        <v>51</v>
      </c>
      <c r="F95" s="58">
        <v>13000</v>
      </c>
      <c r="G95" s="59">
        <v>22</v>
      </c>
      <c r="H95" s="60">
        <v>83.5</v>
      </c>
      <c r="I95" s="61">
        <f t="shared" si="6"/>
        <v>9225.8064516129034</v>
      </c>
      <c r="J95" s="61">
        <f t="shared" si="7"/>
        <v>4377.0161290322585</v>
      </c>
      <c r="K95" s="61">
        <f t="shared" si="11"/>
        <v>13602.822580645163</v>
      </c>
      <c r="L95" s="62">
        <v>5</v>
      </c>
      <c r="M95" s="62">
        <v>0</v>
      </c>
      <c r="N95" s="62">
        <v>0</v>
      </c>
      <c r="O95" s="62">
        <v>0</v>
      </c>
      <c r="P95" s="62">
        <v>84</v>
      </c>
      <c r="Q95" s="64"/>
      <c r="R95" s="61">
        <f t="shared" si="8"/>
        <v>13602.822580645163</v>
      </c>
      <c r="S95" s="61">
        <f t="shared" si="9"/>
        <v>89</v>
      </c>
      <c r="T95" s="61">
        <f t="shared" si="10"/>
        <v>13513.822580645163</v>
      </c>
    </row>
    <row r="96" spans="1:20" x14ac:dyDescent="0.25">
      <c r="A96" s="55">
        <v>99</v>
      </c>
      <c r="B96" s="56">
        <v>4021</v>
      </c>
      <c r="C96" s="57" t="s">
        <v>339</v>
      </c>
      <c r="D96" s="57" t="s">
        <v>340</v>
      </c>
      <c r="E96" s="57" t="s">
        <v>51</v>
      </c>
      <c r="F96" s="58">
        <v>11500</v>
      </c>
      <c r="G96" s="59">
        <v>29</v>
      </c>
      <c r="H96" s="60">
        <v>93.5</v>
      </c>
      <c r="I96" s="61">
        <f t="shared" si="6"/>
        <v>10758.064516129032</v>
      </c>
      <c r="J96" s="61">
        <f t="shared" si="7"/>
        <v>4335.6854838709678</v>
      </c>
      <c r="K96" s="61">
        <f t="shared" si="11"/>
        <v>15093.75</v>
      </c>
      <c r="L96" s="62">
        <v>5</v>
      </c>
      <c r="M96" s="62">
        <v>0</v>
      </c>
      <c r="N96" s="62">
        <v>3000</v>
      </c>
      <c r="O96" s="62">
        <v>0</v>
      </c>
      <c r="P96" s="62">
        <v>106</v>
      </c>
      <c r="Q96" s="64"/>
      <c r="R96" s="61">
        <f t="shared" si="8"/>
        <v>15093.75</v>
      </c>
      <c r="S96" s="61">
        <f t="shared" si="9"/>
        <v>3111</v>
      </c>
      <c r="T96" s="61">
        <f t="shared" si="10"/>
        <v>11982.75</v>
      </c>
    </row>
    <row r="97" spans="1:20" x14ac:dyDescent="0.25">
      <c r="A97" s="55">
        <v>100</v>
      </c>
      <c r="B97" s="56">
        <v>4024</v>
      </c>
      <c r="C97" s="57" t="s">
        <v>342</v>
      </c>
      <c r="D97" s="57" t="s">
        <v>343</v>
      </c>
      <c r="E97" s="57" t="s">
        <v>51</v>
      </c>
      <c r="F97" s="58">
        <v>11500</v>
      </c>
      <c r="G97" s="59">
        <v>11</v>
      </c>
      <c r="H97" s="60">
        <v>34.5</v>
      </c>
      <c r="I97" s="61">
        <f t="shared" si="6"/>
        <v>4080.6451612903224</v>
      </c>
      <c r="J97" s="61">
        <f t="shared" si="7"/>
        <v>1599.7983870967741</v>
      </c>
      <c r="K97" s="61">
        <f t="shared" si="11"/>
        <v>5680.4435483870966</v>
      </c>
      <c r="L97" s="62">
        <v>5</v>
      </c>
      <c r="M97" s="62">
        <v>0</v>
      </c>
      <c r="N97" s="62">
        <v>0</v>
      </c>
      <c r="O97" s="62">
        <v>0</v>
      </c>
      <c r="P97" s="62">
        <v>52</v>
      </c>
      <c r="Q97" s="64"/>
      <c r="R97" s="61">
        <f t="shared" si="8"/>
        <v>5680.4435483870966</v>
      </c>
      <c r="S97" s="61">
        <f t="shared" si="9"/>
        <v>57</v>
      </c>
      <c r="T97" s="61">
        <f t="shared" si="10"/>
        <v>5623.4435483870966</v>
      </c>
    </row>
    <row r="98" spans="1:20" x14ac:dyDescent="0.25">
      <c r="A98" s="55">
        <v>101</v>
      </c>
      <c r="B98" s="56">
        <v>4032</v>
      </c>
      <c r="C98" s="57" t="s">
        <v>351</v>
      </c>
      <c r="D98" s="57" t="s">
        <v>352</v>
      </c>
      <c r="E98" s="57" t="s">
        <v>51</v>
      </c>
      <c r="F98" s="58">
        <v>14000</v>
      </c>
      <c r="G98" s="59">
        <v>15</v>
      </c>
      <c r="H98" s="60">
        <v>49</v>
      </c>
      <c r="I98" s="61">
        <f t="shared" si="6"/>
        <v>6774.1935483870966</v>
      </c>
      <c r="J98" s="61">
        <f t="shared" si="7"/>
        <v>2766.1290322580644</v>
      </c>
      <c r="K98" s="61">
        <f t="shared" si="11"/>
        <v>9540.322580645161</v>
      </c>
      <c r="L98" s="62">
        <v>5</v>
      </c>
      <c r="M98" s="62">
        <v>0</v>
      </c>
      <c r="N98" s="62">
        <v>0</v>
      </c>
      <c r="O98" s="62">
        <v>0</v>
      </c>
      <c r="P98" s="62">
        <v>76</v>
      </c>
      <c r="Q98" s="64"/>
      <c r="R98" s="61">
        <f t="shared" si="8"/>
        <v>9540.322580645161</v>
      </c>
      <c r="S98" s="61">
        <f t="shared" si="9"/>
        <v>81</v>
      </c>
      <c r="T98" s="61">
        <f t="shared" si="10"/>
        <v>9459.322580645161</v>
      </c>
    </row>
    <row r="99" spans="1:20" x14ac:dyDescent="0.25">
      <c r="A99" s="55">
        <v>102</v>
      </c>
      <c r="B99" s="56">
        <v>4033</v>
      </c>
      <c r="C99" s="57" t="s">
        <v>353</v>
      </c>
      <c r="D99" s="57" t="s">
        <v>354</v>
      </c>
      <c r="E99" s="57" t="s">
        <v>51</v>
      </c>
      <c r="F99" s="58">
        <v>12500</v>
      </c>
      <c r="G99" s="59">
        <v>29</v>
      </c>
      <c r="H99" s="60">
        <v>106</v>
      </c>
      <c r="I99" s="61">
        <f t="shared" si="6"/>
        <v>11693.548387096775</v>
      </c>
      <c r="J99" s="61">
        <f t="shared" si="7"/>
        <v>5342.7419354838712</v>
      </c>
      <c r="K99" s="61">
        <f t="shared" si="11"/>
        <v>17036.290322580644</v>
      </c>
      <c r="L99" s="62">
        <v>5</v>
      </c>
      <c r="M99" s="62">
        <v>0</v>
      </c>
      <c r="N99" s="62">
        <v>3500</v>
      </c>
      <c r="O99" s="62">
        <v>0</v>
      </c>
      <c r="P99" s="62">
        <v>106</v>
      </c>
      <c r="Q99" s="64"/>
      <c r="R99" s="61">
        <f t="shared" si="8"/>
        <v>17036.290322580644</v>
      </c>
      <c r="S99" s="61">
        <f t="shared" si="9"/>
        <v>3611</v>
      </c>
      <c r="T99" s="61">
        <f t="shared" si="10"/>
        <v>13425.290322580644</v>
      </c>
    </row>
    <row r="100" spans="1:20" x14ac:dyDescent="0.25">
      <c r="A100" s="55">
        <v>103</v>
      </c>
      <c r="B100" s="56">
        <v>4034</v>
      </c>
      <c r="C100" s="57" t="s">
        <v>355</v>
      </c>
      <c r="D100" s="57" t="s">
        <v>356</v>
      </c>
      <c r="E100" s="57" t="s">
        <v>51</v>
      </c>
      <c r="F100" s="58">
        <v>12000</v>
      </c>
      <c r="G100" s="59">
        <v>24</v>
      </c>
      <c r="H100" s="60">
        <v>78.5</v>
      </c>
      <c r="I100" s="61">
        <f t="shared" si="6"/>
        <v>9290.3225806451628</v>
      </c>
      <c r="J100" s="61">
        <f t="shared" si="7"/>
        <v>3798.3870967741937</v>
      </c>
      <c r="K100" s="61">
        <f t="shared" si="11"/>
        <v>13088.709677419356</v>
      </c>
      <c r="L100" s="62">
        <v>5</v>
      </c>
      <c r="M100" s="62">
        <v>0</v>
      </c>
      <c r="N100" s="62">
        <v>3500</v>
      </c>
      <c r="O100" s="62">
        <v>0</v>
      </c>
      <c r="P100" s="62">
        <v>92</v>
      </c>
      <c r="Q100" s="64"/>
      <c r="R100" s="61">
        <f t="shared" si="8"/>
        <v>13088.709677419356</v>
      </c>
      <c r="S100" s="61">
        <f t="shared" si="9"/>
        <v>3597</v>
      </c>
      <c r="T100" s="61">
        <f t="shared" si="10"/>
        <v>9491.709677419356</v>
      </c>
    </row>
    <row r="101" spans="1:20" x14ac:dyDescent="0.25">
      <c r="A101" s="55">
        <v>104</v>
      </c>
      <c r="B101" s="56">
        <v>4036</v>
      </c>
      <c r="C101" s="57" t="s">
        <v>359</v>
      </c>
      <c r="D101" s="57" t="s">
        <v>360</v>
      </c>
      <c r="E101" s="57" t="s">
        <v>51</v>
      </c>
      <c r="F101" s="58">
        <v>15500</v>
      </c>
      <c r="G101" s="59">
        <v>31</v>
      </c>
      <c r="H101" s="60">
        <v>153</v>
      </c>
      <c r="I101" s="61">
        <f t="shared" si="6"/>
        <v>15500</v>
      </c>
      <c r="J101" s="61">
        <f t="shared" si="7"/>
        <v>9562.5</v>
      </c>
      <c r="K101" s="61">
        <f t="shared" si="11"/>
        <v>25062.5</v>
      </c>
      <c r="L101" s="62">
        <v>5</v>
      </c>
      <c r="M101" s="62">
        <v>0</v>
      </c>
      <c r="N101" s="62">
        <v>0</v>
      </c>
      <c r="O101" s="62">
        <v>0</v>
      </c>
      <c r="P101" s="62">
        <v>133</v>
      </c>
      <c r="Q101" s="64"/>
      <c r="R101" s="61">
        <f t="shared" si="8"/>
        <v>25062.5</v>
      </c>
      <c r="S101" s="61">
        <f t="shared" si="9"/>
        <v>138</v>
      </c>
      <c r="T101" s="61">
        <f t="shared" si="10"/>
        <v>24924.5</v>
      </c>
    </row>
    <row r="102" spans="1:20" x14ac:dyDescent="0.25">
      <c r="A102" s="55">
        <v>105</v>
      </c>
      <c r="B102" s="56">
        <v>4037</v>
      </c>
      <c r="C102" s="57" t="s">
        <v>361</v>
      </c>
      <c r="D102" s="57" t="s">
        <v>362</v>
      </c>
      <c r="E102" s="57" t="s">
        <v>51</v>
      </c>
      <c r="F102" s="58">
        <v>15500</v>
      </c>
      <c r="G102" s="59">
        <v>31</v>
      </c>
      <c r="H102" s="60">
        <v>95.5</v>
      </c>
      <c r="I102" s="61">
        <f t="shared" si="6"/>
        <v>15500</v>
      </c>
      <c r="J102" s="61">
        <f t="shared" si="7"/>
        <v>5968.75</v>
      </c>
      <c r="K102" s="61">
        <f t="shared" si="11"/>
        <v>21468.75</v>
      </c>
      <c r="L102" s="62">
        <v>5</v>
      </c>
      <c r="M102" s="62">
        <v>0</v>
      </c>
      <c r="N102" s="62">
        <v>8000</v>
      </c>
      <c r="O102" s="62">
        <v>0</v>
      </c>
      <c r="P102" s="62">
        <v>133</v>
      </c>
      <c r="Q102" s="64"/>
      <c r="R102" s="61">
        <f t="shared" si="8"/>
        <v>21468.75</v>
      </c>
      <c r="S102" s="61">
        <f t="shared" si="9"/>
        <v>8138</v>
      </c>
      <c r="T102" s="61">
        <f t="shared" si="10"/>
        <v>13330.75</v>
      </c>
    </row>
    <row r="103" spans="1:20" x14ac:dyDescent="0.25">
      <c r="A103" s="55">
        <v>106</v>
      </c>
      <c r="B103" s="56">
        <v>4041</v>
      </c>
      <c r="C103" s="57" t="s">
        <v>369</v>
      </c>
      <c r="D103" s="57" t="s">
        <v>370</v>
      </c>
      <c r="E103" s="57" t="s">
        <v>51</v>
      </c>
      <c r="F103" s="58">
        <v>12000</v>
      </c>
      <c r="G103" s="59">
        <v>31</v>
      </c>
      <c r="H103" s="60">
        <v>101.5</v>
      </c>
      <c r="I103" s="61">
        <f t="shared" si="6"/>
        <v>12000</v>
      </c>
      <c r="J103" s="61">
        <f t="shared" si="7"/>
        <v>4911.2903225806458</v>
      </c>
      <c r="K103" s="61">
        <f t="shared" si="11"/>
        <v>16911.290322580644</v>
      </c>
      <c r="L103" s="62">
        <v>5</v>
      </c>
      <c r="M103" s="62">
        <v>0</v>
      </c>
      <c r="N103" s="62">
        <v>4000</v>
      </c>
      <c r="O103" s="62">
        <v>0</v>
      </c>
      <c r="P103" s="62">
        <v>114</v>
      </c>
      <c r="Q103" s="64"/>
      <c r="R103" s="61">
        <f t="shared" si="8"/>
        <v>16911.290322580644</v>
      </c>
      <c r="S103" s="61">
        <f t="shared" si="9"/>
        <v>4119</v>
      </c>
      <c r="T103" s="61">
        <f t="shared" si="10"/>
        <v>12792.290322580644</v>
      </c>
    </row>
    <row r="104" spans="1:20" x14ac:dyDescent="0.25">
      <c r="A104" s="55">
        <v>107</v>
      </c>
      <c r="B104" s="56">
        <v>4042</v>
      </c>
      <c r="C104" s="57" t="s">
        <v>371</v>
      </c>
      <c r="D104" s="57" t="s">
        <v>372</v>
      </c>
      <c r="E104" s="57" t="s">
        <v>51</v>
      </c>
      <c r="F104" s="58">
        <v>12500</v>
      </c>
      <c r="G104" s="59">
        <v>30</v>
      </c>
      <c r="H104" s="60">
        <v>97.5</v>
      </c>
      <c r="I104" s="61">
        <f t="shared" ref="I104:I142" si="12">F104/31*G104</f>
        <v>12096.774193548388</v>
      </c>
      <c r="J104" s="61">
        <f t="shared" ref="J104:J142" si="13">F104/31/8*H104</f>
        <v>4914.3145161290322</v>
      </c>
      <c r="K104" s="61">
        <f t="shared" si="11"/>
        <v>17011.08870967742</v>
      </c>
      <c r="L104" s="62">
        <v>5</v>
      </c>
      <c r="M104" s="62">
        <v>0</v>
      </c>
      <c r="N104" s="62">
        <v>4000</v>
      </c>
      <c r="O104" s="62">
        <v>0</v>
      </c>
      <c r="P104" s="62">
        <v>110</v>
      </c>
      <c r="Q104" s="64"/>
      <c r="R104" s="61">
        <f t="shared" ref="R104:R142" si="14">K104</f>
        <v>17011.08870967742</v>
      </c>
      <c r="S104" s="61">
        <f t="shared" ref="S104:S142" si="15">L104+M104+N104+O104+P104+Q104</f>
        <v>4115</v>
      </c>
      <c r="T104" s="61">
        <f t="shared" ref="T104:T142" si="16">R104-S104</f>
        <v>12896.08870967742</v>
      </c>
    </row>
    <row r="105" spans="1:20" x14ac:dyDescent="0.25">
      <c r="A105" s="55">
        <v>108</v>
      </c>
      <c r="B105" s="56">
        <v>4043</v>
      </c>
      <c r="C105" s="57" t="s">
        <v>373</v>
      </c>
      <c r="D105" s="57" t="s">
        <v>110</v>
      </c>
      <c r="E105" s="57" t="s">
        <v>51</v>
      </c>
      <c r="F105" s="58">
        <v>13800</v>
      </c>
      <c r="G105" s="59">
        <v>31</v>
      </c>
      <c r="H105" s="60">
        <v>184.5</v>
      </c>
      <c r="I105" s="61">
        <f t="shared" si="12"/>
        <v>13800</v>
      </c>
      <c r="J105" s="61">
        <f t="shared" si="13"/>
        <v>10266.532258064517</v>
      </c>
      <c r="K105" s="61">
        <f t="shared" si="11"/>
        <v>24066.532258064515</v>
      </c>
      <c r="L105" s="62">
        <v>5</v>
      </c>
      <c r="M105" s="62">
        <v>0</v>
      </c>
      <c r="N105" s="62">
        <v>4000</v>
      </c>
      <c r="O105" s="62">
        <v>0</v>
      </c>
      <c r="P105" s="62">
        <v>114</v>
      </c>
      <c r="Q105" s="64"/>
      <c r="R105" s="61">
        <f t="shared" si="14"/>
        <v>24066.532258064515</v>
      </c>
      <c r="S105" s="61">
        <f t="shared" si="15"/>
        <v>4119</v>
      </c>
      <c r="T105" s="61">
        <f t="shared" si="16"/>
        <v>19947.532258064515</v>
      </c>
    </row>
    <row r="106" spans="1:20" x14ac:dyDescent="0.25">
      <c r="A106" s="55">
        <v>109</v>
      </c>
      <c r="B106" s="56">
        <v>4044</v>
      </c>
      <c r="C106" s="57" t="s">
        <v>374</v>
      </c>
      <c r="D106" s="57" t="s">
        <v>375</v>
      </c>
      <c r="E106" s="57" t="s">
        <v>51</v>
      </c>
      <c r="F106" s="58">
        <v>13000</v>
      </c>
      <c r="G106" s="59">
        <v>31</v>
      </c>
      <c r="H106" s="60">
        <v>125.5</v>
      </c>
      <c r="I106" s="61">
        <f t="shared" si="12"/>
        <v>13000</v>
      </c>
      <c r="J106" s="61">
        <f t="shared" si="13"/>
        <v>6578.6290322580644</v>
      </c>
      <c r="K106" s="61">
        <f t="shared" si="11"/>
        <v>19578.629032258064</v>
      </c>
      <c r="L106" s="62">
        <v>5</v>
      </c>
      <c r="M106" s="62">
        <v>0</v>
      </c>
      <c r="N106" s="62">
        <v>4500</v>
      </c>
      <c r="O106" s="62">
        <v>0</v>
      </c>
      <c r="P106" s="62">
        <v>114</v>
      </c>
      <c r="Q106" s="64"/>
      <c r="R106" s="61">
        <f t="shared" si="14"/>
        <v>19578.629032258064</v>
      </c>
      <c r="S106" s="61">
        <f t="shared" si="15"/>
        <v>4619</v>
      </c>
      <c r="T106" s="61">
        <f t="shared" si="16"/>
        <v>14959.629032258064</v>
      </c>
    </row>
    <row r="107" spans="1:20" x14ac:dyDescent="0.25">
      <c r="A107" s="55">
        <v>110</v>
      </c>
      <c r="B107" s="56">
        <v>4045</v>
      </c>
      <c r="C107" s="57" t="s">
        <v>376</v>
      </c>
      <c r="D107" s="57" t="s">
        <v>377</v>
      </c>
      <c r="E107" s="57" t="s">
        <v>51</v>
      </c>
      <c r="F107" s="58">
        <v>14000</v>
      </c>
      <c r="G107" s="59">
        <v>30</v>
      </c>
      <c r="H107" s="60">
        <v>102</v>
      </c>
      <c r="I107" s="61">
        <f t="shared" si="12"/>
        <v>13548.387096774193</v>
      </c>
      <c r="J107" s="61">
        <f t="shared" si="13"/>
        <v>5758.0645161290322</v>
      </c>
      <c r="K107" s="61">
        <f t="shared" si="11"/>
        <v>19306.451612903227</v>
      </c>
      <c r="L107" s="62">
        <v>5</v>
      </c>
      <c r="M107" s="62">
        <v>0</v>
      </c>
      <c r="N107" s="62">
        <v>3000</v>
      </c>
      <c r="O107" s="62">
        <v>0</v>
      </c>
      <c r="P107" s="62">
        <v>110</v>
      </c>
      <c r="Q107" s="64"/>
      <c r="R107" s="61">
        <f t="shared" si="14"/>
        <v>19306.451612903227</v>
      </c>
      <c r="S107" s="61">
        <f t="shared" si="15"/>
        <v>3115</v>
      </c>
      <c r="T107" s="61">
        <f t="shared" si="16"/>
        <v>16191.451612903227</v>
      </c>
    </row>
    <row r="108" spans="1:20" x14ac:dyDescent="0.25">
      <c r="A108" s="55">
        <v>111</v>
      </c>
      <c r="B108" s="56">
        <v>4048</v>
      </c>
      <c r="C108" s="57" t="s">
        <v>382</v>
      </c>
      <c r="D108" s="57" t="s">
        <v>383</v>
      </c>
      <c r="E108" s="57" t="s">
        <v>51</v>
      </c>
      <c r="F108" s="58">
        <v>14000</v>
      </c>
      <c r="G108" s="59">
        <v>20</v>
      </c>
      <c r="H108" s="60">
        <v>199.5</v>
      </c>
      <c r="I108" s="61">
        <f t="shared" si="12"/>
        <v>9032.2580645161288</v>
      </c>
      <c r="J108" s="61">
        <f t="shared" si="13"/>
        <v>11262.096774193549</v>
      </c>
      <c r="K108" s="61">
        <f t="shared" si="11"/>
        <v>20294.354838709678</v>
      </c>
      <c r="L108" s="62">
        <v>5</v>
      </c>
      <c r="M108" s="62">
        <v>0</v>
      </c>
      <c r="N108" s="62">
        <v>4500</v>
      </c>
      <c r="O108" s="62">
        <v>0</v>
      </c>
      <c r="P108" s="62">
        <v>73</v>
      </c>
      <c r="Q108" s="64"/>
      <c r="R108" s="61">
        <f t="shared" si="14"/>
        <v>20294.354838709678</v>
      </c>
      <c r="S108" s="61">
        <f t="shared" si="15"/>
        <v>4578</v>
      </c>
      <c r="T108" s="61">
        <f t="shared" si="16"/>
        <v>15716.354838709678</v>
      </c>
    </row>
    <row r="109" spans="1:20" x14ac:dyDescent="0.25">
      <c r="A109" s="55">
        <v>112</v>
      </c>
      <c r="B109" s="56">
        <v>4052</v>
      </c>
      <c r="C109" s="57" t="s">
        <v>390</v>
      </c>
      <c r="D109" s="57" t="s">
        <v>391</v>
      </c>
      <c r="E109" s="57" t="s">
        <v>51</v>
      </c>
      <c r="F109" s="58">
        <v>11500</v>
      </c>
      <c r="G109" s="59">
        <v>19</v>
      </c>
      <c r="H109" s="60">
        <v>236.5</v>
      </c>
      <c r="I109" s="61">
        <f t="shared" si="12"/>
        <v>7048.3870967741932</v>
      </c>
      <c r="J109" s="61">
        <f t="shared" si="13"/>
        <v>10966.733870967741</v>
      </c>
      <c r="K109" s="61">
        <f t="shared" si="11"/>
        <v>18015.120967741932</v>
      </c>
      <c r="L109" s="62">
        <v>5</v>
      </c>
      <c r="M109" s="62">
        <v>0</v>
      </c>
      <c r="N109" s="62">
        <v>4000</v>
      </c>
      <c r="O109" s="62">
        <v>0</v>
      </c>
      <c r="P109" s="62">
        <v>73</v>
      </c>
      <c r="Q109" s="64"/>
      <c r="R109" s="61">
        <f t="shared" si="14"/>
        <v>18015.120967741932</v>
      </c>
      <c r="S109" s="61">
        <f t="shared" si="15"/>
        <v>4078</v>
      </c>
      <c r="T109" s="61">
        <f t="shared" si="16"/>
        <v>13937.120967741932</v>
      </c>
    </row>
    <row r="110" spans="1:20" x14ac:dyDescent="0.25">
      <c r="A110" s="55">
        <v>113</v>
      </c>
      <c r="B110" s="56">
        <v>4055</v>
      </c>
      <c r="C110" s="57" t="s">
        <v>277</v>
      </c>
      <c r="D110" s="57" t="s">
        <v>396</v>
      </c>
      <c r="E110" s="57" t="s">
        <v>51</v>
      </c>
      <c r="F110" s="58">
        <v>12000</v>
      </c>
      <c r="G110" s="59">
        <v>17</v>
      </c>
      <c r="H110" s="60">
        <v>136</v>
      </c>
      <c r="I110" s="61">
        <f t="shared" si="12"/>
        <v>6580.6451612903229</v>
      </c>
      <c r="J110" s="61">
        <f t="shared" si="13"/>
        <v>6580.6451612903229</v>
      </c>
      <c r="K110" s="61">
        <f t="shared" si="11"/>
        <v>13161.290322580646</v>
      </c>
      <c r="L110" s="62">
        <v>5</v>
      </c>
      <c r="M110" s="62">
        <v>0</v>
      </c>
      <c r="N110" s="62">
        <v>2400</v>
      </c>
      <c r="O110" s="62">
        <v>0</v>
      </c>
      <c r="P110" s="62">
        <v>62</v>
      </c>
      <c r="Q110" s="64"/>
      <c r="R110" s="61">
        <f t="shared" si="14"/>
        <v>13161.290322580646</v>
      </c>
      <c r="S110" s="61">
        <f t="shared" si="15"/>
        <v>2467</v>
      </c>
      <c r="T110" s="61">
        <f t="shared" si="16"/>
        <v>10694.290322580646</v>
      </c>
    </row>
    <row r="111" spans="1:20" x14ac:dyDescent="0.25">
      <c r="A111" s="55">
        <v>114</v>
      </c>
      <c r="B111" s="56">
        <v>4057</v>
      </c>
      <c r="C111" s="57" t="s">
        <v>399</v>
      </c>
      <c r="D111" s="57" t="s">
        <v>400</v>
      </c>
      <c r="E111" s="57" t="s">
        <v>51</v>
      </c>
      <c r="F111" s="58">
        <v>14000</v>
      </c>
      <c r="G111" s="59">
        <v>20</v>
      </c>
      <c r="H111" s="60">
        <v>103.5</v>
      </c>
      <c r="I111" s="61">
        <f t="shared" si="12"/>
        <v>9032.2580645161288</v>
      </c>
      <c r="J111" s="61">
        <f t="shared" si="13"/>
        <v>5842.7419354838712</v>
      </c>
      <c r="K111" s="61">
        <f t="shared" si="11"/>
        <v>14875</v>
      </c>
      <c r="L111" s="62">
        <v>5</v>
      </c>
      <c r="M111" s="62">
        <v>0</v>
      </c>
      <c r="N111" s="62">
        <v>1000</v>
      </c>
      <c r="O111" s="62">
        <v>0</v>
      </c>
      <c r="P111" s="62">
        <v>41</v>
      </c>
      <c r="Q111" s="64"/>
      <c r="R111" s="61">
        <f t="shared" si="14"/>
        <v>14875</v>
      </c>
      <c r="S111" s="61">
        <f t="shared" si="15"/>
        <v>1046</v>
      </c>
      <c r="T111" s="61">
        <f t="shared" si="16"/>
        <v>13829</v>
      </c>
    </row>
    <row r="112" spans="1:20" x14ac:dyDescent="0.25">
      <c r="A112" s="55">
        <v>115</v>
      </c>
      <c r="B112" s="56">
        <v>4060</v>
      </c>
      <c r="C112" s="57" t="s">
        <v>405</v>
      </c>
      <c r="D112" s="57" t="s">
        <v>406</v>
      </c>
      <c r="E112" s="57" t="s">
        <v>51</v>
      </c>
      <c r="F112" s="58">
        <v>12000</v>
      </c>
      <c r="G112" s="59">
        <v>19</v>
      </c>
      <c r="H112" s="60">
        <v>199</v>
      </c>
      <c r="I112" s="61">
        <f t="shared" si="12"/>
        <v>7354.8387096774195</v>
      </c>
      <c r="J112" s="61">
        <f t="shared" si="13"/>
        <v>9629.032258064517</v>
      </c>
      <c r="K112" s="61">
        <f t="shared" si="11"/>
        <v>16983.870967741936</v>
      </c>
      <c r="L112" s="62">
        <v>5</v>
      </c>
      <c r="M112" s="62">
        <v>0</v>
      </c>
      <c r="N112" s="62">
        <v>4560</v>
      </c>
      <c r="O112" s="62">
        <v>0</v>
      </c>
      <c r="P112" s="62">
        <v>66</v>
      </c>
      <c r="Q112" s="64"/>
      <c r="R112" s="61">
        <f t="shared" si="14"/>
        <v>16983.870967741936</v>
      </c>
      <c r="S112" s="61">
        <f t="shared" si="15"/>
        <v>4631</v>
      </c>
      <c r="T112" s="61">
        <f t="shared" si="16"/>
        <v>12352.870967741936</v>
      </c>
    </row>
    <row r="113" spans="1:20" x14ac:dyDescent="0.25">
      <c r="A113" s="55">
        <v>116</v>
      </c>
      <c r="B113" s="56">
        <v>4062</v>
      </c>
      <c r="C113" s="57" t="s">
        <v>409</v>
      </c>
      <c r="D113" s="57" t="s">
        <v>410</v>
      </c>
      <c r="E113" s="57" t="s">
        <v>51</v>
      </c>
      <c r="F113" s="58">
        <v>11500</v>
      </c>
      <c r="G113" s="59">
        <v>6</v>
      </c>
      <c r="H113" s="60">
        <v>100</v>
      </c>
      <c r="I113" s="61">
        <f t="shared" si="12"/>
        <v>2225.8064516129029</v>
      </c>
      <c r="J113" s="61">
        <f t="shared" si="13"/>
        <v>4637.0967741935483</v>
      </c>
      <c r="K113" s="61">
        <f t="shared" si="11"/>
        <v>6862.9032258064508</v>
      </c>
      <c r="L113" s="62">
        <v>5</v>
      </c>
      <c r="M113" s="62">
        <v>0</v>
      </c>
      <c r="N113" s="62">
        <v>1500</v>
      </c>
      <c r="O113" s="62">
        <v>0</v>
      </c>
      <c r="P113" s="62">
        <v>0</v>
      </c>
      <c r="Q113" s="64"/>
      <c r="R113" s="61">
        <f t="shared" si="14"/>
        <v>6862.9032258064508</v>
      </c>
      <c r="S113" s="61">
        <f t="shared" si="15"/>
        <v>1505</v>
      </c>
      <c r="T113" s="61">
        <f t="shared" si="16"/>
        <v>5357.9032258064508</v>
      </c>
    </row>
    <row r="114" spans="1:20" x14ac:dyDescent="0.25">
      <c r="A114" s="55">
        <v>117</v>
      </c>
      <c r="B114" s="56">
        <v>4063</v>
      </c>
      <c r="C114" s="57" t="s">
        <v>411</v>
      </c>
      <c r="D114" s="57" t="s">
        <v>412</v>
      </c>
      <c r="E114" s="57" t="s">
        <v>51</v>
      </c>
      <c r="F114" s="58">
        <v>11500</v>
      </c>
      <c r="G114" s="59">
        <v>10</v>
      </c>
      <c r="H114" s="60">
        <v>271.5</v>
      </c>
      <c r="I114" s="61">
        <f t="shared" si="12"/>
        <v>3709.6774193548385</v>
      </c>
      <c r="J114" s="61">
        <f t="shared" si="13"/>
        <v>12589.717741935483</v>
      </c>
      <c r="K114" s="61">
        <f t="shared" ref="K114:K142" si="17">I114+J114</f>
        <v>16299.395161290322</v>
      </c>
      <c r="L114" s="62">
        <v>5</v>
      </c>
      <c r="M114" s="62">
        <v>0</v>
      </c>
      <c r="N114" s="62">
        <v>2200</v>
      </c>
      <c r="O114" s="62">
        <v>0</v>
      </c>
      <c r="P114" s="62">
        <v>41</v>
      </c>
      <c r="Q114" s="64"/>
      <c r="R114" s="61">
        <f t="shared" si="14"/>
        <v>16299.395161290322</v>
      </c>
      <c r="S114" s="61">
        <f t="shared" si="15"/>
        <v>2246</v>
      </c>
      <c r="T114" s="61">
        <f t="shared" si="16"/>
        <v>14053.395161290322</v>
      </c>
    </row>
    <row r="115" spans="1:20" x14ac:dyDescent="0.25">
      <c r="A115" s="55">
        <v>118</v>
      </c>
      <c r="B115" s="56">
        <v>4068</v>
      </c>
      <c r="C115" s="57" t="s">
        <v>419</v>
      </c>
      <c r="D115" s="57" t="s">
        <v>420</v>
      </c>
      <c r="E115" s="57" t="s">
        <v>51</v>
      </c>
      <c r="F115" s="58">
        <v>13000</v>
      </c>
      <c r="G115" s="59">
        <v>13</v>
      </c>
      <c r="H115" s="60">
        <v>42</v>
      </c>
      <c r="I115" s="61">
        <f t="shared" si="12"/>
        <v>5451.6129032258068</v>
      </c>
      <c r="J115" s="61">
        <f t="shared" si="13"/>
        <v>2201.6129032258063</v>
      </c>
      <c r="K115" s="61">
        <f t="shared" si="17"/>
        <v>7653.2258064516136</v>
      </c>
      <c r="L115" s="62">
        <v>5</v>
      </c>
      <c r="M115" s="62">
        <v>0</v>
      </c>
      <c r="N115" s="62">
        <v>0</v>
      </c>
      <c r="O115" s="62">
        <v>0</v>
      </c>
      <c r="P115" s="62">
        <v>0</v>
      </c>
      <c r="Q115" s="64"/>
      <c r="R115" s="61">
        <f t="shared" si="14"/>
        <v>7653.2258064516136</v>
      </c>
      <c r="S115" s="61">
        <f t="shared" si="15"/>
        <v>5</v>
      </c>
      <c r="T115" s="61">
        <f t="shared" si="16"/>
        <v>7648.2258064516136</v>
      </c>
    </row>
    <row r="116" spans="1:20" x14ac:dyDescent="0.25">
      <c r="A116" s="55">
        <v>119</v>
      </c>
      <c r="B116" s="56">
        <v>4070</v>
      </c>
      <c r="C116" s="57" t="s">
        <v>423</v>
      </c>
      <c r="D116" s="57" t="s">
        <v>424</v>
      </c>
      <c r="E116" s="57" t="s">
        <v>51</v>
      </c>
      <c r="F116" s="58">
        <v>11500</v>
      </c>
      <c r="G116" s="59">
        <v>11</v>
      </c>
      <c r="H116" s="60">
        <v>251</v>
      </c>
      <c r="I116" s="61">
        <f t="shared" si="12"/>
        <v>4080.6451612903224</v>
      </c>
      <c r="J116" s="61">
        <f t="shared" si="13"/>
        <v>11639.112903225805</v>
      </c>
      <c r="K116" s="61">
        <f t="shared" si="17"/>
        <v>15719.758064516127</v>
      </c>
      <c r="L116" s="62">
        <v>5</v>
      </c>
      <c r="M116" s="62">
        <v>0</v>
      </c>
      <c r="N116" s="62">
        <v>1000</v>
      </c>
      <c r="O116" s="62">
        <v>0</v>
      </c>
      <c r="P116" s="62">
        <v>0</v>
      </c>
      <c r="Q116" s="64"/>
      <c r="R116" s="61">
        <f t="shared" si="14"/>
        <v>15719.758064516127</v>
      </c>
      <c r="S116" s="61">
        <f t="shared" si="15"/>
        <v>1005</v>
      </c>
      <c r="T116" s="61">
        <f t="shared" si="16"/>
        <v>14714.758064516127</v>
      </c>
    </row>
    <row r="117" spans="1:20" x14ac:dyDescent="0.25">
      <c r="A117" s="55">
        <v>120</v>
      </c>
      <c r="B117" s="56">
        <v>4071</v>
      </c>
      <c r="C117" s="57" t="s">
        <v>425</v>
      </c>
      <c r="D117" s="57" t="s">
        <v>426</v>
      </c>
      <c r="E117" s="57" t="s">
        <v>51</v>
      </c>
      <c r="F117" s="58">
        <v>14000</v>
      </c>
      <c r="G117" s="59">
        <v>5</v>
      </c>
      <c r="H117" s="60">
        <v>145.5</v>
      </c>
      <c r="I117" s="61">
        <f t="shared" si="12"/>
        <v>2258.0645161290322</v>
      </c>
      <c r="J117" s="61">
        <f t="shared" si="13"/>
        <v>8213.7096774193542</v>
      </c>
      <c r="K117" s="61">
        <f t="shared" si="17"/>
        <v>10471.774193548386</v>
      </c>
      <c r="L117" s="62">
        <v>5</v>
      </c>
      <c r="M117" s="62">
        <v>0</v>
      </c>
      <c r="N117" s="62">
        <v>1000</v>
      </c>
      <c r="O117" s="62">
        <v>0</v>
      </c>
      <c r="P117" s="62">
        <v>0</v>
      </c>
      <c r="Q117" s="64"/>
      <c r="R117" s="61">
        <f t="shared" si="14"/>
        <v>10471.774193548386</v>
      </c>
      <c r="S117" s="61">
        <f t="shared" si="15"/>
        <v>1005</v>
      </c>
      <c r="T117" s="61">
        <f t="shared" si="16"/>
        <v>9466.7741935483864</v>
      </c>
    </row>
    <row r="118" spans="1:20" x14ac:dyDescent="0.25">
      <c r="A118" s="55">
        <v>121</v>
      </c>
      <c r="B118" s="56">
        <v>4073</v>
      </c>
      <c r="C118" s="57" t="s">
        <v>429</v>
      </c>
      <c r="D118" s="57" t="s">
        <v>430</v>
      </c>
      <c r="E118" s="57" t="s">
        <v>51</v>
      </c>
      <c r="F118" s="58">
        <v>13500</v>
      </c>
      <c r="G118" s="59">
        <v>7</v>
      </c>
      <c r="H118" s="60">
        <v>99.5</v>
      </c>
      <c r="I118" s="61">
        <f t="shared" si="12"/>
        <v>3048.3870967741937</v>
      </c>
      <c r="J118" s="61">
        <f t="shared" si="13"/>
        <v>5416.3306451612907</v>
      </c>
      <c r="K118" s="61">
        <f t="shared" si="17"/>
        <v>8464.7177419354848</v>
      </c>
      <c r="L118" s="62">
        <v>5</v>
      </c>
      <c r="M118" s="62">
        <v>0</v>
      </c>
      <c r="N118" s="62">
        <v>0</v>
      </c>
      <c r="O118" s="62">
        <v>0</v>
      </c>
      <c r="P118" s="62">
        <v>0</v>
      </c>
      <c r="Q118" s="64"/>
      <c r="R118" s="61">
        <f t="shared" si="14"/>
        <v>8464.7177419354848</v>
      </c>
      <c r="S118" s="61">
        <f t="shared" si="15"/>
        <v>5</v>
      </c>
      <c r="T118" s="61">
        <f t="shared" si="16"/>
        <v>8459.7177419354848</v>
      </c>
    </row>
    <row r="119" spans="1:20" x14ac:dyDescent="0.25">
      <c r="A119" s="55">
        <v>122</v>
      </c>
      <c r="B119" s="56">
        <v>1751</v>
      </c>
      <c r="C119" s="57" t="s">
        <v>59</v>
      </c>
      <c r="D119" s="57" t="s">
        <v>60</v>
      </c>
      <c r="E119" s="57" t="s">
        <v>61</v>
      </c>
      <c r="F119" s="58">
        <v>33900</v>
      </c>
      <c r="G119" s="59">
        <v>30</v>
      </c>
      <c r="H119" s="60">
        <v>72</v>
      </c>
      <c r="I119" s="61">
        <f t="shared" si="12"/>
        <v>32806.451612903227</v>
      </c>
      <c r="J119" s="61">
        <f t="shared" si="13"/>
        <v>9841.9354838709678</v>
      </c>
      <c r="K119" s="61">
        <f t="shared" si="17"/>
        <v>42648.387096774197</v>
      </c>
      <c r="L119" s="62">
        <v>5</v>
      </c>
      <c r="M119" s="62">
        <v>200</v>
      </c>
      <c r="N119" s="62">
        <v>0</v>
      </c>
      <c r="O119" s="62">
        <v>0</v>
      </c>
      <c r="P119" s="62">
        <v>0</v>
      </c>
      <c r="Q119" s="64"/>
      <c r="R119" s="61">
        <f t="shared" si="14"/>
        <v>42648.387096774197</v>
      </c>
      <c r="S119" s="61">
        <f t="shared" si="15"/>
        <v>205</v>
      </c>
      <c r="T119" s="61">
        <f t="shared" si="16"/>
        <v>42443.387096774197</v>
      </c>
    </row>
    <row r="120" spans="1:20" x14ac:dyDescent="0.25">
      <c r="A120" s="55">
        <v>123</v>
      </c>
      <c r="B120" s="56">
        <v>3639</v>
      </c>
      <c r="C120" s="57" t="s">
        <v>172</v>
      </c>
      <c r="D120" s="57" t="s">
        <v>173</v>
      </c>
      <c r="E120" s="57" t="s">
        <v>61</v>
      </c>
      <c r="F120" s="58">
        <v>10800</v>
      </c>
      <c r="G120" s="59">
        <v>14</v>
      </c>
      <c r="H120" s="60">
        <v>46.5</v>
      </c>
      <c r="I120" s="61">
        <f t="shared" si="12"/>
        <v>4877.4193548387093</v>
      </c>
      <c r="J120" s="61">
        <f t="shared" si="13"/>
        <v>2025</v>
      </c>
      <c r="K120" s="61">
        <f t="shared" si="17"/>
        <v>6902.4193548387093</v>
      </c>
      <c r="L120" s="62">
        <v>5</v>
      </c>
      <c r="M120" s="62">
        <v>0</v>
      </c>
      <c r="N120" s="62">
        <v>0</v>
      </c>
      <c r="O120" s="62">
        <v>0</v>
      </c>
      <c r="P120" s="62">
        <v>62</v>
      </c>
      <c r="Q120" s="64"/>
      <c r="R120" s="61">
        <f t="shared" si="14"/>
        <v>6902.4193548387093</v>
      </c>
      <c r="S120" s="61">
        <f t="shared" si="15"/>
        <v>67</v>
      </c>
      <c r="T120" s="61">
        <f t="shared" si="16"/>
        <v>6835.4193548387093</v>
      </c>
    </row>
    <row r="121" spans="1:20" x14ac:dyDescent="0.25">
      <c r="A121" s="55">
        <v>124</v>
      </c>
      <c r="B121" s="56">
        <v>3813</v>
      </c>
      <c r="C121" s="57" t="s">
        <v>70</v>
      </c>
      <c r="D121" s="57" t="s">
        <v>224</v>
      </c>
      <c r="E121" s="57" t="s">
        <v>61</v>
      </c>
      <c r="F121" s="58">
        <v>20200</v>
      </c>
      <c r="G121" s="59">
        <v>31</v>
      </c>
      <c r="H121" s="60">
        <v>99</v>
      </c>
      <c r="I121" s="61">
        <f t="shared" si="12"/>
        <v>20200</v>
      </c>
      <c r="J121" s="61">
        <f t="shared" si="13"/>
        <v>8063.7096774193551</v>
      </c>
      <c r="K121" s="61">
        <f t="shared" si="17"/>
        <v>28263.709677419356</v>
      </c>
      <c r="L121" s="62">
        <v>5</v>
      </c>
      <c r="M121" s="62">
        <v>200</v>
      </c>
      <c r="N121" s="62">
        <v>0</v>
      </c>
      <c r="O121" s="62">
        <v>0</v>
      </c>
      <c r="P121" s="62">
        <v>158</v>
      </c>
      <c r="Q121" s="64"/>
      <c r="R121" s="61">
        <f t="shared" si="14"/>
        <v>28263.709677419356</v>
      </c>
      <c r="S121" s="61">
        <f t="shared" si="15"/>
        <v>363</v>
      </c>
      <c r="T121" s="61">
        <f t="shared" si="16"/>
        <v>27900.709677419356</v>
      </c>
    </row>
    <row r="122" spans="1:20" x14ac:dyDescent="0.25">
      <c r="A122" s="55">
        <v>125</v>
      </c>
      <c r="B122" s="56">
        <v>3894</v>
      </c>
      <c r="C122" s="57" t="s">
        <v>246</v>
      </c>
      <c r="D122" s="57" t="s">
        <v>247</v>
      </c>
      <c r="E122" s="57" t="s">
        <v>61</v>
      </c>
      <c r="F122" s="58">
        <v>11000</v>
      </c>
      <c r="G122" s="59">
        <v>31</v>
      </c>
      <c r="H122" s="60">
        <v>152.5</v>
      </c>
      <c r="I122" s="61">
        <f t="shared" si="12"/>
        <v>11000</v>
      </c>
      <c r="J122" s="61">
        <f t="shared" si="13"/>
        <v>6764.1129032258059</v>
      </c>
      <c r="K122" s="61">
        <f t="shared" si="17"/>
        <v>17764.112903225807</v>
      </c>
      <c r="L122" s="62">
        <v>5</v>
      </c>
      <c r="M122" s="62">
        <v>0</v>
      </c>
      <c r="N122" s="62">
        <v>2500</v>
      </c>
      <c r="O122" s="62">
        <v>0</v>
      </c>
      <c r="P122" s="62">
        <v>114</v>
      </c>
      <c r="Q122" s="64"/>
      <c r="R122" s="61">
        <f t="shared" si="14"/>
        <v>17764.112903225807</v>
      </c>
      <c r="S122" s="61">
        <f t="shared" si="15"/>
        <v>2619</v>
      </c>
      <c r="T122" s="61">
        <f t="shared" si="16"/>
        <v>15145.112903225807</v>
      </c>
    </row>
    <row r="123" spans="1:20" x14ac:dyDescent="0.25">
      <c r="A123" s="55">
        <v>126</v>
      </c>
      <c r="B123" s="56">
        <v>4078</v>
      </c>
      <c r="C123" s="57" t="s">
        <v>438</v>
      </c>
      <c r="D123" s="57" t="s">
        <v>439</v>
      </c>
      <c r="E123" s="57" t="s">
        <v>61</v>
      </c>
      <c r="F123" s="58">
        <v>12000</v>
      </c>
      <c r="G123" s="59">
        <v>5</v>
      </c>
      <c r="H123" s="60">
        <v>48</v>
      </c>
      <c r="I123" s="61">
        <f t="shared" si="12"/>
        <v>1935.483870967742</v>
      </c>
      <c r="J123" s="61">
        <f t="shared" si="13"/>
        <v>2322.5806451612907</v>
      </c>
      <c r="K123" s="61">
        <f t="shared" si="17"/>
        <v>4258.0645161290322</v>
      </c>
      <c r="L123" s="62">
        <v>5</v>
      </c>
      <c r="M123" s="62">
        <v>0</v>
      </c>
      <c r="N123" s="62">
        <v>0</v>
      </c>
      <c r="O123" s="62">
        <v>0</v>
      </c>
      <c r="P123" s="62">
        <v>19</v>
      </c>
      <c r="Q123" s="64"/>
      <c r="R123" s="61">
        <f t="shared" si="14"/>
        <v>4258.0645161290322</v>
      </c>
      <c r="S123" s="61">
        <f t="shared" si="15"/>
        <v>24</v>
      </c>
      <c r="T123" s="61">
        <f t="shared" si="16"/>
        <v>4234.0645161290322</v>
      </c>
    </row>
    <row r="124" spans="1:20" x14ac:dyDescent="0.25">
      <c r="A124" s="55">
        <v>127</v>
      </c>
      <c r="B124" s="56">
        <v>316</v>
      </c>
      <c r="C124" s="57" t="s">
        <v>33</v>
      </c>
      <c r="D124" s="57" t="s">
        <v>34</v>
      </c>
      <c r="E124" s="57" t="s">
        <v>35</v>
      </c>
      <c r="F124" s="58">
        <v>17500</v>
      </c>
      <c r="G124" s="59">
        <v>31</v>
      </c>
      <c r="H124" s="59">
        <v>157</v>
      </c>
      <c r="I124" s="61">
        <f t="shared" si="12"/>
        <v>17500</v>
      </c>
      <c r="J124" s="61">
        <f t="shared" si="13"/>
        <v>11078.629032258064</v>
      </c>
      <c r="K124" s="61">
        <f t="shared" si="17"/>
        <v>28578.629032258064</v>
      </c>
      <c r="L124" s="62">
        <v>5</v>
      </c>
      <c r="M124" s="62">
        <v>200</v>
      </c>
      <c r="N124" s="62">
        <v>0</v>
      </c>
      <c r="O124" s="62">
        <v>1800</v>
      </c>
      <c r="P124" s="62">
        <v>147</v>
      </c>
      <c r="Q124" s="64"/>
      <c r="R124" s="61">
        <f t="shared" si="14"/>
        <v>28578.629032258064</v>
      </c>
      <c r="S124" s="61">
        <f t="shared" si="15"/>
        <v>2152</v>
      </c>
      <c r="T124" s="61">
        <f t="shared" si="16"/>
        <v>26426.629032258064</v>
      </c>
    </row>
    <row r="125" spans="1:20" x14ac:dyDescent="0.25">
      <c r="A125" s="55">
        <v>128</v>
      </c>
      <c r="B125" s="56">
        <v>2058</v>
      </c>
      <c r="C125" s="57" t="s">
        <v>68</v>
      </c>
      <c r="D125" s="57" t="s">
        <v>69</v>
      </c>
      <c r="E125" s="57" t="s">
        <v>35</v>
      </c>
      <c r="F125" s="58">
        <v>43000</v>
      </c>
      <c r="G125" s="59">
        <v>31</v>
      </c>
      <c r="H125" s="60">
        <v>111</v>
      </c>
      <c r="I125" s="61">
        <f t="shared" si="12"/>
        <v>43000</v>
      </c>
      <c r="J125" s="61">
        <f t="shared" si="13"/>
        <v>19245.967741935481</v>
      </c>
      <c r="K125" s="61">
        <f t="shared" si="17"/>
        <v>62245.967741935485</v>
      </c>
      <c r="L125" s="62">
        <v>5</v>
      </c>
      <c r="M125" s="62">
        <v>200</v>
      </c>
      <c r="N125" s="62">
        <v>0</v>
      </c>
      <c r="O125" s="62">
        <v>0</v>
      </c>
      <c r="P125" s="62">
        <v>0</v>
      </c>
      <c r="Q125" s="64"/>
      <c r="R125" s="61">
        <f t="shared" si="14"/>
        <v>62245.967741935485</v>
      </c>
      <c r="S125" s="61">
        <f t="shared" si="15"/>
        <v>205</v>
      </c>
      <c r="T125" s="61">
        <f t="shared" si="16"/>
        <v>62040.967741935485</v>
      </c>
    </row>
    <row r="126" spans="1:20" x14ac:dyDescent="0.25">
      <c r="A126" s="55">
        <v>129</v>
      </c>
      <c r="B126" s="56">
        <v>2219</v>
      </c>
      <c r="C126" s="57" t="s">
        <v>72</v>
      </c>
      <c r="D126" s="57" t="s">
        <v>73</v>
      </c>
      <c r="E126" s="57" t="s">
        <v>74</v>
      </c>
      <c r="F126" s="58">
        <v>15300</v>
      </c>
      <c r="G126" s="59">
        <v>31</v>
      </c>
      <c r="H126" s="60">
        <v>216</v>
      </c>
      <c r="I126" s="61">
        <f t="shared" si="12"/>
        <v>15300</v>
      </c>
      <c r="J126" s="61">
        <f t="shared" si="13"/>
        <v>13325.806451612903</v>
      </c>
      <c r="K126" s="61">
        <f t="shared" si="17"/>
        <v>28625.806451612902</v>
      </c>
      <c r="L126" s="62">
        <v>5</v>
      </c>
      <c r="M126" s="62">
        <v>0</v>
      </c>
      <c r="N126" s="62">
        <v>0</v>
      </c>
      <c r="O126" s="62">
        <v>0</v>
      </c>
      <c r="P126" s="62">
        <v>130</v>
      </c>
      <c r="Q126" s="64"/>
      <c r="R126" s="61">
        <f t="shared" si="14"/>
        <v>28625.806451612902</v>
      </c>
      <c r="S126" s="61">
        <f t="shared" si="15"/>
        <v>135</v>
      </c>
      <c r="T126" s="61">
        <f t="shared" si="16"/>
        <v>28490.806451612902</v>
      </c>
    </row>
    <row r="127" spans="1:20" x14ac:dyDescent="0.25">
      <c r="A127" s="55">
        <v>130</v>
      </c>
      <c r="B127" s="56">
        <v>3633</v>
      </c>
      <c r="C127" s="57" t="s">
        <v>166</v>
      </c>
      <c r="D127" s="57" t="s">
        <v>167</v>
      </c>
      <c r="E127" s="57" t="s">
        <v>74</v>
      </c>
      <c r="F127" s="58">
        <v>17500</v>
      </c>
      <c r="G127" s="59">
        <v>7</v>
      </c>
      <c r="H127" s="60">
        <v>34.5</v>
      </c>
      <c r="I127" s="61">
        <f t="shared" si="12"/>
        <v>3951.6129032258063</v>
      </c>
      <c r="J127" s="61">
        <f t="shared" si="13"/>
        <v>2434.4758064516127</v>
      </c>
      <c r="K127" s="61">
        <f t="shared" si="17"/>
        <v>6386.0887096774186</v>
      </c>
      <c r="L127" s="62">
        <v>5</v>
      </c>
      <c r="M127" s="62">
        <v>0</v>
      </c>
      <c r="N127" s="62">
        <v>0</v>
      </c>
      <c r="O127" s="62">
        <v>0</v>
      </c>
      <c r="P127" s="62">
        <v>48</v>
      </c>
      <c r="Q127" s="64"/>
      <c r="R127" s="61">
        <f t="shared" si="14"/>
        <v>6386.0887096774186</v>
      </c>
      <c r="S127" s="61">
        <f t="shared" si="15"/>
        <v>53</v>
      </c>
      <c r="T127" s="61">
        <f t="shared" si="16"/>
        <v>6333.0887096774186</v>
      </c>
    </row>
    <row r="128" spans="1:20" x14ac:dyDescent="0.25">
      <c r="A128" s="55">
        <v>131</v>
      </c>
      <c r="B128" s="56">
        <v>3785</v>
      </c>
      <c r="C128" s="57" t="s">
        <v>215</v>
      </c>
      <c r="D128" s="57" t="s">
        <v>216</v>
      </c>
      <c r="E128" s="57" t="s">
        <v>74</v>
      </c>
      <c r="F128" s="58">
        <v>12000</v>
      </c>
      <c r="G128" s="59">
        <v>29</v>
      </c>
      <c r="H128" s="60">
        <v>162</v>
      </c>
      <c r="I128" s="61">
        <f t="shared" si="12"/>
        <v>11225.806451612903</v>
      </c>
      <c r="J128" s="61">
        <f t="shared" si="13"/>
        <v>7838.7096774193551</v>
      </c>
      <c r="K128" s="61">
        <f t="shared" si="17"/>
        <v>19064.516129032258</v>
      </c>
      <c r="L128" s="62">
        <v>5</v>
      </c>
      <c r="M128" s="62">
        <v>0</v>
      </c>
      <c r="N128" s="62">
        <v>2500</v>
      </c>
      <c r="O128" s="62">
        <v>0</v>
      </c>
      <c r="P128" s="62">
        <v>106</v>
      </c>
      <c r="Q128" s="64"/>
      <c r="R128" s="61">
        <f t="shared" si="14"/>
        <v>19064.516129032258</v>
      </c>
      <c r="S128" s="61">
        <f t="shared" si="15"/>
        <v>2611</v>
      </c>
      <c r="T128" s="61">
        <f t="shared" si="16"/>
        <v>16453.516129032258</v>
      </c>
    </row>
    <row r="129" spans="1:20" x14ac:dyDescent="0.25">
      <c r="A129" s="55">
        <v>132</v>
      </c>
      <c r="B129" s="56">
        <v>3836</v>
      </c>
      <c r="C129" s="57" t="s">
        <v>231</v>
      </c>
      <c r="D129" s="57" t="s">
        <v>232</v>
      </c>
      <c r="E129" s="57" t="s">
        <v>74</v>
      </c>
      <c r="F129" s="58">
        <v>11700</v>
      </c>
      <c r="G129" s="59">
        <v>31</v>
      </c>
      <c r="H129" s="60">
        <v>126</v>
      </c>
      <c r="I129" s="61">
        <f t="shared" si="12"/>
        <v>11700</v>
      </c>
      <c r="J129" s="61">
        <f t="shared" si="13"/>
        <v>5944.354838709678</v>
      </c>
      <c r="K129" s="61">
        <f t="shared" si="17"/>
        <v>17644.354838709678</v>
      </c>
      <c r="L129" s="62">
        <v>5</v>
      </c>
      <c r="M129" s="62">
        <v>0</v>
      </c>
      <c r="N129" s="62">
        <v>2500</v>
      </c>
      <c r="O129" s="62">
        <v>0</v>
      </c>
      <c r="P129" s="62">
        <v>114</v>
      </c>
      <c r="Q129" s="64"/>
      <c r="R129" s="61">
        <f t="shared" si="14"/>
        <v>17644.354838709678</v>
      </c>
      <c r="S129" s="61">
        <f t="shared" si="15"/>
        <v>2619</v>
      </c>
      <c r="T129" s="61">
        <f t="shared" si="16"/>
        <v>15025.354838709678</v>
      </c>
    </row>
    <row r="130" spans="1:20" x14ac:dyDescent="0.25">
      <c r="A130" s="55">
        <v>133</v>
      </c>
      <c r="B130" s="56">
        <v>3976</v>
      </c>
      <c r="C130" s="57" t="s">
        <v>294</v>
      </c>
      <c r="D130" s="57" t="s">
        <v>295</v>
      </c>
      <c r="E130" s="57" t="s">
        <v>74</v>
      </c>
      <c r="F130" s="58">
        <v>12000</v>
      </c>
      <c r="G130" s="59">
        <v>24</v>
      </c>
      <c r="H130" s="60">
        <v>118</v>
      </c>
      <c r="I130" s="61">
        <f t="shared" si="12"/>
        <v>9290.3225806451628</v>
      </c>
      <c r="J130" s="61">
        <f t="shared" si="13"/>
        <v>5709.677419354839</v>
      </c>
      <c r="K130" s="61">
        <f t="shared" si="17"/>
        <v>15000.000000000002</v>
      </c>
      <c r="L130" s="62">
        <v>5</v>
      </c>
      <c r="M130" s="62">
        <v>0</v>
      </c>
      <c r="N130" s="62">
        <v>2000</v>
      </c>
      <c r="O130" s="62">
        <v>0</v>
      </c>
      <c r="P130" s="62">
        <v>92</v>
      </c>
      <c r="Q130" s="64"/>
      <c r="R130" s="61">
        <f t="shared" si="14"/>
        <v>15000.000000000002</v>
      </c>
      <c r="S130" s="61">
        <f t="shared" si="15"/>
        <v>2097</v>
      </c>
      <c r="T130" s="61">
        <f t="shared" si="16"/>
        <v>12903.000000000002</v>
      </c>
    </row>
    <row r="131" spans="1:20" x14ac:dyDescent="0.25">
      <c r="A131" s="55">
        <v>134</v>
      </c>
      <c r="B131" s="56">
        <v>3977</v>
      </c>
      <c r="C131" s="57" t="s">
        <v>296</v>
      </c>
      <c r="D131" s="57" t="s">
        <v>297</v>
      </c>
      <c r="E131" s="57" t="s">
        <v>74</v>
      </c>
      <c r="F131" s="58">
        <v>12000</v>
      </c>
      <c r="G131" s="59">
        <v>29</v>
      </c>
      <c r="H131" s="60">
        <v>91</v>
      </c>
      <c r="I131" s="61">
        <f t="shared" si="12"/>
        <v>11225.806451612903</v>
      </c>
      <c r="J131" s="61">
        <f t="shared" si="13"/>
        <v>4403.2258064516136</v>
      </c>
      <c r="K131" s="61">
        <f t="shared" si="17"/>
        <v>15629.032258064517</v>
      </c>
      <c r="L131" s="62">
        <v>5</v>
      </c>
      <c r="M131" s="62">
        <v>0</v>
      </c>
      <c r="N131" s="62">
        <v>2500</v>
      </c>
      <c r="O131" s="62">
        <v>0</v>
      </c>
      <c r="P131" s="62">
        <v>106</v>
      </c>
      <c r="Q131" s="64"/>
      <c r="R131" s="61">
        <f t="shared" si="14"/>
        <v>15629.032258064517</v>
      </c>
      <c r="S131" s="61">
        <f t="shared" si="15"/>
        <v>2611</v>
      </c>
      <c r="T131" s="61">
        <f t="shared" si="16"/>
        <v>13018.032258064517</v>
      </c>
    </row>
    <row r="132" spans="1:20" x14ac:dyDescent="0.25">
      <c r="A132" s="55">
        <v>135</v>
      </c>
      <c r="B132" s="56">
        <v>4035</v>
      </c>
      <c r="C132" s="57" t="s">
        <v>357</v>
      </c>
      <c r="D132" s="57" t="s">
        <v>358</v>
      </c>
      <c r="E132" s="57" t="s">
        <v>74</v>
      </c>
      <c r="F132" s="58">
        <v>11800</v>
      </c>
      <c r="G132" s="59">
        <v>31</v>
      </c>
      <c r="H132" s="60">
        <v>204</v>
      </c>
      <c r="I132" s="61">
        <f t="shared" si="12"/>
        <v>11800</v>
      </c>
      <c r="J132" s="61">
        <f t="shared" si="13"/>
        <v>9706.4516129032254</v>
      </c>
      <c r="K132" s="61">
        <f t="shared" si="17"/>
        <v>21506.451612903227</v>
      </c>
      <c r="L132" s="62">
        <v>5</v>
      </c>
      <c r="M132" s="62">
        <v>0</v>
      </c>
      <c r="N132" s="62">
        <v>2500</v>
      </c>
      <c r="O132" s="62">
        <v>0</v>
      </c>
      <c r="P132" s="62">
        <v>114</v>
      </c>
      <c r="Q132" s="64"/>
      <c r="R132" s="61">
        <f t="shared" si="14"/>
        <v>21506.451612903227</v>
      </c>
      <c r="S132" s="61">
        <f t="shared" si="15"/>
        <v>2619</v>
      </c>
      <c r="T132" s="61">
        <f t="shared" si="16"/>
        <v>18887.451612903227</v>
      </c>
    </row>
    <row r="133" spans="1:20" x14ac:dyDescent="0.25">
      <c r="A133" s="55">
        <v>137</v>
      </c>
      <c r="B133" s="56">
        <v>4061</v>
      </c>
      <c r="C133" s="57" t="s">
        <v>407</v>
      </c>
      <c r="D133" s="57" t="s">
        <v>408</v>
      </c>
      <c r="E133" s="57" t="s">
        <v>74</v>
      </c>
      <c r="F133" s="58">
        <v>12000</v>
      </c>
      <c r="G133" s="59">
        <v>3</v>
      </c>
      <c r="H133" s="60">
        <v>283</v>
      </c>
      <c r="I133" s="61">
        <f t="shared" si="12"/>
        <v>1161.2903225806454</v>
      </c>
      <c r="J133" s="61">
        <f t="shared" si="13"/>
        <v>13693.548387096775</v>
      </c>
      <c r="K133" s="61">
        <f t="shared" si="17"/>
        <v>14854.83870967742</v>
      </c>
      <c r="L133" s="62">
        <v>5</v>
      </c>
      <c r="M133" s="62">
        <v>0</v>
      </c>
      <c r="N133" s="62">
        <v>500</v>
      </c>
      <c r="O133" s="62">
        <v>0</v>
      </c>
      <c r="P133" s="62">
        <v>11</v>
      </c>
      <c r="Q133" s="64"/>
      <c r="R133" s="61">
        <f t="shared" si="14"/>
        <v>14854.83870967742</v>
      </c>
      <c r="S133" s="61">
        <f t="shared" si="15"/>
        <v>516</v>
      </c>
      <c r="T133" s="61">
        <f t="shared" si="16"/>
        <v>14338.83870967742</v>
      </c>
    </row>
    <row r="134" spans="1:20" x14ac:dyDescent="0.25">
      <c r="A134" s="55">
        <v>138</v>
      </c>
      <c r="B134" s="56">
        <v>4067</v>
      </c>
      <c r="C134" s="57" t="s">
        <v>417</v>
      </c>
      <c r="D134" s="57" t="s">
        <v>418</v>
      </c>
      <c r="E134" s="57" t="s">
        <v>74</v>
      </c>
      <c r="F134" s="58">
        <v>12700</v>
      </c>
      <c r="G134" s="59">
        <v>11</v>
      </c>
      <c r="H134" s="60">
        <v>337</v>
      </c>
      <c r="I134" s="61">
        <f t="shared" si="12"/>
        <v>4506.4516129032263</v>
      </c>
      <c r="J134" s="61">
        <f t="shared" si="13"/>
        <v>17257.66129032258</v>
      </c>
      <c r="K134" s="61">
        <f t="shared" si="17"/>
        <v>21764.112903225807</v>
      </c>
      <c r="L134" s="62">
        <v>5</v>
      </c>
      <c r="M134" s="62">
        <v>0</v>
      </c>
      <c r="N134" s="62">
        <v>0</v>
      </c>
      <c r="O134" s="62">
        <v>0</v>
      </c>
      <c r="P134" s="62">
        <v>41</v>
      </c>
      <c r="Q134" s="64"/>
      <c r="R134" s="61">
        <f t="shared" si="14"/>
        <v>21764.112903225807</v>
      </c>
      <c r="S134" s="61">
        <f t="shared" si="15"/>
        <v>46</v>
      </c>
      <c r="T134" s="61">
        <f t="shared" si="16"/>
        <v>21718.112903225807</v>
      </c>
    </row>
    <row r="135" spans="1:20" x14ac:dyDescent="0.25">
      <c r="A135" s="55">
        <v>139</v>
      </c>
      <c r="B135" s="56">
        <v>3262</v>
      </c>
      <c r="C135" s="57" t="s">
        <v>119</v>
      </c>
      <c r="D135" s="57" t="s">
        <v>120</v>
      </c>
      <c r="E135" s="57" t="s">
        <v>121</v>
      </c>
      <c r="F135" s="58">
        <v>12000</v>
      </c>
      <c r="G135" s="59">
        <v>21</v>
      </c>
      <c r="H135" s="60">
        <v>77.5</v>
      </c>
      <c r="I135" s="61">
        <f t="shared" si="12"/>
        <v>8129.032258064517</v>
      </c>
      <c r="J135" s="61">
        <f t="shared" si="13"/>
        <v>3750.0000000000005</v>
      </c>
      <c r="K135" s="61">
        <f t="shared" si="17"/>
        <v>11879.032258064517</v>
      </c>
      <c r="L135" s="62">
        <v>5</v>
      </c>
      <c r="M135" s="62">
        <v>0</v>
      </c>
      <c r="N135" s="62">
        <v>0</v>
      </c>
      <c r="O135" s="62">
        <v>0</v>
      </c>
      <c r="P135" s="62">
        <v>84</v>
      </c>
      <c r="Q135" s="64"/>
      <c r="R135" s="61">
        <f t="shared" si="14"/>
        <v>11879.032258064517</v>
      </c>
      <c r="S135" s="61">
        <f t="shared" si="15"/>
        <v>89</v>
      </c>
      <c r="T135" s="61">
        <f t="shared" si="16"/>
        <v>11790.032258064517</v>
      </c>
    </row>
    <row r="136" spans="1:20" x14ac:dyDescent="0.25">
      <c r="A136" s="55">
        <v>140</v>
      </c>
      <c r="B136" s="56">
        <v>3299</v>
      </c>
      <c r="C136" s="57" t="s">
        <v>122</v>
      </c>
      <c r="D136" s="57" t="s">
        <v>123</v>
      </c>
      <c r="E136" s="57" t="s">
        <v>121</v>
      </c>
      <c r="F136" s="58">
        <v>14500</v>
      </c>
      <c r="G136" s="59">
        <v>31</v>
      </c>
      <c r="H136" s="60">
        <v>168</v>
      </c>
      <c r="I136" s="61">
        <f t="shared" si="12"/>
        <v>14500</v>
      </c>
      <c r="J136" s="61">
        <f t="shared" si="13"/>
        <v>9822.5806451612898</v>
      </c>
      <c r="K136" s="61">
        <f t="shared" si="17"/>
        <v>24322.580645161288</v>
      </c>
      <c r="L136" s="62">
        <v>5</v>
      </c>
      <c r="M136" s="62">
        <v>0</v>
      </c>
      <c r="N136" s="62">
        <v>4000</v>
      </c>
      <c r="O136" s="62">
        <v>0</v>
      </c>
      <c r="P136" s="62">
        <v>121</v>
      </c>
      <c r="Q136" s="64"/>
      <c r="R136" s="61">
        <f t="shared" si="14"/>
        <v>24322.580645161288</v>
      </c>
      <c r="S136" s="61">
        <f t="shared" si="15"/>
        <v>4126</v>
      </c>
      <c r="T136" s="61">
        <f t="shared" si="16"/>
        <v>20196.580645161288</v>
      </c>
    </row>
    <row r="137" spans="1:20" x14ac:dyDescent="0.25">
      <c r="A137" s="55">
        <v>142</v>
      </c>
      <c r="B137" s="56">
        <v>3638</v>
      </c>
      <c r="C137" s="57" t="s">
        <v>170</v>
      </c>
      <c r="D137" s="57" t="s">
        <v>171</v>
      </c>
      <c r="E137" s="57" t="s">
        <v>121</v>
      </c>
      <c r="F137" s="58">
        <v>10500</v>
      </c>
      <c r="G137" s="59">
        <v>21</v>
      </c>
      <c r="H137" s="60">
        <v>71.5</v>
      </c>
      <c r="I137" s="61">
        <f t="shared" si="12"/>
        <v>7112.9032258064508</v>
      </c>
      <c r="J137" s="61">
        <f t="shared" si="13"/>
        <v>3027.2177419354839</v>
      </c>
      <c r="K137" s="61">
        <f t="shared" si="17"/>
        <v>10140.120967741936</v>
      </c>
      <c r="L137" s="62">
        <v>5</v>
      </c>
      <c r="M137" s="62">
        <v>0</v>
      </c>
      <c r="N137" s="62">
        <v>0</v>
      </c>
      <c r="O137" s="62">
        <v>0</v>
      </c>
      <c r="P137" s="62">
        <v>81</v>
      </c>
      <c r="Q137" s="64"/>
      <c r="R137" s="61">
        <f t="shared" si="14"/>
        <v>10140.120967741936</v>
      </c>
      <c r="S137" s="61">
        <f t="shared" si="15"/>
        <v>86</v>
      </c>
      <c r="T137" s="61">
        <f t="shared" si="16"/>
        <v>10054.120967741936</v>
      </c>
    </row>
    <row r="138" spans="1:20" x14ac:dyDescent="0.25">
      <c r="A138" s="55">
        <v>143</v>
      </c>
      <c r="B138" s="56">
        <v>3761</v>
      </c>
      <c r="C138" s="57" t="s">
        <v>209</v>
      </c>
      <c r="D138" s="57" t="s">
        <v>210</v>
      </c>
      <c r="E138" s="57" t="s">
        <v>121</v>
      </c>
      <c r="F138" s="58">
        <v>13000</v>
      </c>
      <c r="G138" s="59">
        <v>25</v>
      </c>
      <c r="H138" s="60">
        <v>123.5</v>
      </c>
      <c r="I138" s="61">
        <f t="shared" si="12"/>
        <v>10483.870967741936</v>
      </c>
      <c r="J138" s="61">
        <f t="shared" si="13"/>
        <v>6473.7903225806458</v>
      </c>
      <c r="K138" s="61">
        <f t="shared" si="17"/>
        <v>16957.661290322583</v>
      </c>
      <c r="L138" s="62">
        <v>5</v>
      </c>
      <c r="M138" s="62">
        <v>0</v>
      </c>
      <c r="N138" s="62">
        <v>3000</v>
      </c>
      <c r="O138" s="62">
        <v>0</v>
      </c>
      <c r="P138" s="62">
        <v>101</v>
      </c>
      <c r="Q138" s="64"/>
      <c r="R138" s="61">
        <f t="shared" si="14"/>
        <v>16957.661290322583</v>
      </c>
      <c r="S138" s="61">
        <f t="shared" si="15"/>
        <v>3106</v>
      </c>
      <c r="T138" s="61">
        <f t="shared" si="16"/>
        <v>13851.661290322583</v>
      </c>
    </row>
    <row r="139" spans="1:20" x14ac:dyDescent="0.25">
      <c r="A139" s="55">
        <v>144</v>
      </c>
      <c r="B139" s="56">
        <v>4006</v>
      </c>
      <c r="C139" s="57" t="s">
        <v>317</v>
      </c>
      <c r="D139" s="57" t="s">
        <v>318</v>
      </c>
      <c r="E139" s="57" t="s">
        <v>121</v>
      </c>
      <c r="F139" s="58">
        <v>12000</v>
      </c>
      <c r="G139" s="59">
        <v>30</v>
      </c>
      <c r="H139" s="60">
        <v>144</v>
      </c>
      <c r="I139" s="61">
        <f t="shared" si="12"/>
        <v>11612.903225806453</v>
      </c>
      <c r="J139" s="61">
        <f t="shared" si="13"/>
        <v>6967.7419354838712</v>
      </c>
      <c r="K139" s="61">
        <f t="shared" si="17"/>
        <v>18580.645161290326</v>
      </c>
      <c r="L139" s="62">
        <v>5</v>
      </c>
      <c r="M139" s="62">
        <v>0</v>
      </c>
      <c r="N139" s="62">
        <v>3000</v>
      </c>
      <c r="O139" s="62">
        <v>0</v>
      </c>
      <c r="P139" s="62">
        <v>110</v>
      </c>
      <c r="Q139" s="64"/>
      <c r="R139" s="61">
        <f t="shared" si="14"/>
        <v>18580.645161290326</v>
      </c>
      <c r="S139" s="61">
        <f t="shared" si="15"/>
        <v>3115</v>
      </c>
      <c r="T139" s="61">
        <f t="shared" si="16"/>
        <v>15465.645161290326</v>
      </c>
    </row>
    <row r="140" spans="1:20" x14ac:dyDescent="0.25">
      <c r="A140" s="55">
        <v>145</v>
      </c>
      <c r="B140" s="56">
        <v>3377</v>
      </c>
      <c r="C140" s="57" t="s">
        <v>141</v>
      </c>
      <c r="D140" s="57" t="s">
        <v>142</v>
      </c>
      <c r="E140" s="57" t="s">
        <v>143</v>
      </c>
      <c r="F140" s="58">
        <v>19950</v>
      </c>
      <c r="G140" s="59">
        <v>31</v>
      </c>
      <c r="H140" s="60"/>
      <c r="I140" s="61">
        <f t="shared" si="12"/>
        <v>19950</v>
      </c>
      <c r="J140" s="61">
        <f t="shared" si="13"/>
        <v>0</v>
      </c>
      <c r="K140" s="61">
        <f t="shared" si="17"/>
        <v>19950</v>
      </c>
      <c r="L140" s="62">
        <v>5</v>
      </c>
      <c r="M140" s="62">
        <v>0</v>
      </c>
      <c r="N140" s="62">
        <v>0</v>
      </c>
      <c r="O140" s="62">
        <v>0</v>
      </c>
      <c r="P140" s="62">
        <v>116</v>
      </c>
      <c r="Q140" s="64"/>
      <c r="R140" s="61">
        <f t="shared" si="14"/>
        <v>19950</v>
      </c>
      <c r="S140" s="61">
        <f t="shared" si="15"/>
        <v>121</v>
      </c>
      <c r="T140" s="61">
        <f t="shared" si="16"/>
        <v>19829</v>
      </c>
    </row>
    <row r="141" spans="1:20" x14ac:dyDescent="0.25">
      <c r="A141" s="55">
        <v>146</v>
      </c>
      <c r="B141" s="56">
        <v>3637</v>
      </c>
      <c r="C141" s="57" t="s">
        <v>168</v>
      </c>
      <c r="D141" s="57" t="s">
        <v>169</v>
      </c>
      <c r="E141" s="57" t="s">
        <v>143</v>
      </c>
      <c r="F141" s="58">
        <v>18300</v>
      </c>
      <c r="G141" s="59">
        <v>31</v>
      </c>
      <c r="H141" s="60">
        <v>152</v>
      </c>
      <c r="I141" s="61">
        <f t="shared" si="12"/>
        <v>18300</v>
      </c>
      <c r="J141" s="61">
        <f t="shared" si="13"/>
        <v>11216.129032258066</v>
      </c>
      <c r="K141" s="61">
        <f t="shared" si="17"/>
        <v>29516.129032258068</v>
      </c>
      <c r="L141" s="62">
        <v>5</v>
      </c>
      <c r="M141" s="62">
        <v>0</v>
      </c>
      <c r="N141" s="62">
        <v>3000</v>
      </c>
      <c r="O141" s="62">
        <v>0</v>
      </c>
      <c r="P141" s="62">
        <v>161</v>
      </c>
      <c r="Q141" s="64"/>
      <c r="R141" s="61">
        <f t="shared" si="14"/>
        <v>29516.129032258068</v>
      </c>
      <c r="S141" s="61">
        <f t="shared" si="15"/>
        <v>3166</v>
      </c>
      <c r="T141" s="61">
        <f t="shared" si="16"/>
        <v>26350.129032258068</v>
      </c>
    </row>
    <row r="142" spans="1:20" x14ac:dyDescent="0.25">
      <c r="A142" s="55">
        <v>147</v>
      </c>
      <c r="B142" s="56">
        <v>3791</v>
      </c>
      <c r="C142" s="57" t="s">
        <v>217</v>
      </c>
      <c r="D142" s="57" t="s">
        <v>218</v>
      </c>
      <c r="E142" s="57" t="s">
        <v>143</v>
      </c>
      <c r="F142" s="58">
        <v>12000</v>
      </c>
      <c r="G142" s="59">
        <v>31</v>
      </c>
      <c r="H142" s="60">
        <v>124.5</v>
      </c>
      <c r="I142" s="61">
        <f t="shared" si="12"/>
        <v>12000</v>
      </c>
      <c r="J142" s="61">
        <f t="shared" si="13"/>
        <v>6024.1935483870975</v>
      </c>
      <c r="K142" s="61">
        <f t="shared" si="17"/>
        <v>18024.193548387098</v>
      </c>
      <c r="L142" s="62">
        <v>5</v>
      </c>
      <c r="M142" s="62">
        <v>0</v>
      </c>
      <c r="N142" s="62">
        <v>3000</v>
      </c>
      <c r="O142" s="62">
        <v>0</v>
      </c>
      <c r="P142" s="62">
        <v>114</v>
      </c>
      <c r="Q142" s="64"/>
      <c r="R142" s="61">
        <f t="shared" si="14"/>
        <v>18024.193548387098</v>
      </c>
      <c r="S142" s="61">
        <f t="shared" si="15"/>
        <v>3119</v>
      </c>
      <c r="T142" s="61">
        <f t="shared" si="16"/>
        <v>14905.193548387098</v>
      </c>
    </row>
    <row r="143" spans="1:20" x14ac:dyDescent="0.25">
      <c r="C143" s="72"/>
      <c r="D143" s="72"/>
      <c r="E143" s="72"/>
      <c r="F143" s="73">
        <f t="shared" ref="F143:T143" si="18">SUM(F3:F142)</f>
        <v>2060855</v>
      </c>
      <c r="G143" s="73">
        <f t="shared" si="18"/>
        <v>2993</v>
      </c>
      <c r="H143" s="73">
        <f t="shared" si="18"/>
        <v>16476</v>
      </c>
      <c r="I143" s="73">
        <f t="shared" si="18"/>
        <v>1533819.5161290318</v>
      </c>
      <c r="J143" s="73">
        <f t="shared" si="18"/>
        <v>973968.54838709708</v>
      </c>
      <c r="K143" s="73">
        <f t="shared" si="18"/>
        <v>2756052.0161290327</v>
      </c>
      <c r="L143" s="73">
        <f t="shared" si="18"/>
        <v>700</v>
      </c>
      <c r="M143" s="73">
        <f t="shared" si="18"/>
        <v>3000</v>
      </c>
      <c r="N143" s="73">
        <f t="shared" si="18"/>
        <v>247340</v>
      </c>
      <c r="O143" s="73">
        <f t="shared" si="18"/>
        <v>7200</v>
      </c>
      <c r="P143" s="73">
        <f t="shared" si="18"/>
        <v>11966</v>
      </c>
      <c r="Q143" s="73">
        <f t="shared" si="18"/>
        <v>0</v>
      </c>
      <c r="R143" s="73">
        <f t="shared" si="18"/>
        <v>2756052.0161290327</v>
      </c>
      <c r="S143" s="73">
        <f t="shared" si="18"/>
        <v>270206</v>
      </c>
      <c r="T143" s="73">
        <f t="shared" si="18"/>
        <v>2485846.0161290322</v>
      </c>
    </row>
  </sheetData>
  <sortState ref="A2:T67">
    <sortCondition ref="E1"/>
  </sortState>
  <mergeCells count="1">
    <mergeCell ref="A1:T1"/>
  </mergeCells>
  <pageMargins left="0" right="0" top="0" bottom="0" header="0" footer="0"/>
  <pageSetup paperSize="9" scale="8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K23"/>
  <sheetViews>
    <sheetView workbookViewId="0">
      <selection activeCell="J21" sqref="J21"/>
    </sheetView>
  </sheetViews>
  <sheetFormatPr defaultRowHeight="15" x14ac:dyDescent="0.25"/>
  <cols>
    <col min="10" max="10" width="16.28515625" customWidth="1"/>
  </cols>
  <sheetData>
    <row r="8" spans="1:11" x14ac:dyDescent="0.25">
      <c r="A8" s="5"/>
      <c r="B8" s="5"/>
    </row>
    <row r="9" spans="1:11" x14ac:dyDescent="0.25">
      <c r="A9" s="5"/>
      <c r="B9" s="5"/>
      <c r="D9" s="7"/>
      <c r="E9" s="7"/>
      <c r="F9" s="7"/>
    </row>
    <row r="10" spans="1:11" x14ac:dyDescent="0.25">
      <c r="A10" s="5"/>
      <c r="B10" s="5"/>
      <c r="D10" s="7"/>
      <c r="E10" s="7"/>
      <c r="F10" s="7"/>
    </row>
    <row r="11" spans="1:11" x14ac:dyDescent="0.25">
      <c r="A11" s="5"/>
      <c r="B11" s="5"/>
      <c r="D11" s="7"/>
      <c r="E11" s="7"/>
      <c r="F11" s="7"/>
    </row>
    <row r="12" spans="1:11" x14ac:dyDescent="0.25">
      <c r="A12" s="5"/>
      <c r="B12" s="5"/>
      <c r="D12" s="7"/>
      <c r="E12" s="7"/>
      <c r="F12" s="7"/>
      <c r="I12" s="5"/>
      <c r="J12" s="5"/>
      <c r="K12" s="5"/>
    </row>
    <row r="13" spans="1:11" x14ac:dyDescent="0.25">
      <c r="A13" s="5"/>
      <c r="B13" s="5"/>
      <c r="D13" s="7"/>
      <c r="E13" s="7"/>
      <c r="F13" s="7"/>
      <c r="I13" s="4" t="s">
        <v>21</v>
      </c>
      <c r="J13" s="4">
        <f>UNPAID!T10</f>
        <v>80643.862903225803</v>
      </c>
      <c r="K13" s="5"/>
    </row>
    <row r="14" spans="1:11" x14ac:dyDescent="0.25">
      <c r="A14" s="5"/>
      <c r="B14" s="5"/>
      <c r="D14" s="7"/>
      <c r="E14" s="7"/>
      <c r="F14" s="7"/>
      <c r="I14" s="4" t="s">
        <v>20</v>
      </c>
      <c r="J14" s="4">
        <f>WAGES!T143</f>
        <v>2485846.0161290322</v>
      </c>
      <c r="K14" s="5"/>
    </row>
    <row r="15" spans="1:11" x14ac:dyDescent="0.25">
      <c r="A15" s="5"/>
      <c r="B15" s="5"/>
      <c r="D15" s="7"/>
      <c r="E15" s="7"/>
      <c r="F15" s="7"/>
      <c r="I15" s="4" t="s">
        <v>18</v>
      </c>
      <c r="J15" s="4">
        <f>SALARY!T36</f>
        <v>1083928.1048387093</v>
      </c>
      <c r="K15" s="5"/>
    </row>
    <row r="16" spans="1:11" x14ac:dyDescent="0.25">
      <c r="D16" s="7"/>
      <c r="E16" s="7"/>
      <c r="F16" s="7"/>
      <c r="I16" s="4" t="s">
        <v>13</v>
      </c>
      <c r="J16" s="4">
        <f>SUM(J13:J15)</f>
        <v>3650417.9838709673</v>
      </c>
      <c r="K16" s="5"/>
    </row>
    <row r="17" spans="4:11" x14ac:dyDescent="0.25">
      <c r="D17" s="7"/>
      <c r="E17" s="7"/>
      <c r="F17" s="7"/>
      <c r="I17" s="5"/>
      <c r="J17" s="5"/>
      <c r="K17" s="5"/>
    </row>
    <row r="18" spans="4:11" x14ac:dyDescent="0.25">
      <c r="D18" s="7"/>
      <c r="E18" s="7"/>
      <c r="F18" s="7"/>
      <c r="I18" s="5"/>
      <c r="J18" s="5"/>
      <c r="K18" s="5"/>
    </row>
    <row r="19" spans="4:11" x14ac:dyDescent="0.25">
      <c r="I19" s="5"/>
      <c r="J19" s="5"/>
      <c r="K19" s="5"/>
    </row>
    <row r="20" spans="4:11" x14ac:dyDescent="0.25">
      <c r="I20" s="5"/>
      <c r="J20" s="5"/>
      <c r="K20" s="5"/>
    </row>
    <row r="21" spans="4:11" x14ac:dyDescent="0.25">
      <c r="I21" s="7"/>
      <c r="J21" s="7"/>
      <c r="K21" s="5"/>
    </row>
    <row r="22" spans="4:11" ht="15.75" x14ac:dyDescent="0.25">
      <c r="I22" s="7"/>
      <c r="J22" s="8"/>
      <c r="K22" s="5"/>
    </row>
    <row r="23" spans="4:11" x14ac:dyDescent="0.25">
      <c r="I23" s="7"/>
      <c r="J23" s="9"/>
      <c r="K2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B3" sqref="B3:B29"/>
    </sheetView>
  </sheetViews>
  <sheetFormatPr defaultRowHeight="10.5" x14ac:dyDescent="0.15"/>
  <cols>
    <col min="1" max="1" width="4.85546875" style="22" bestFit="1" customWidth="1"/>
    <col min="2" max="2" width="6.28515625" style="11" bestFit="1" customWidth="1"/>
    <col min="3" max="3" width="26" style="11" bestFit="1" customWidth="1"/>
    <col min="4" max="4" width="25.85546875" style="11" bestFit="1" customWidth="1"/>
    <col min="5" max="5" width="20.5703125" style="11" bestFit="1" customWidth="1"/>
    <col min="6" max="6" width="10.140625" style="28" bestFit="1" customWidth="1"/>
    <col min="7" max="7" width="5.140625" style="28" bestFit="1" customWidth="1"/>
    <col min="8" max="8" width="6" style="28" bestFit="1" customWidth="1"/>
    <col min="9" max="9" width="12.28515625" style="28" bestFit="1" customWidth="1"/>
    <col min="10" max="10" width="10.28515625" style="28" bestFit="1" customWidth="1"/>
    <col min="11" max="11" width="7.85546875" style="28" bestFit="1" customWidth="1"/>
    <col min="12" max="12" width="5.7109375" style="28" bestFit="1" customWidth="1"/>
    <col min="13" max="13" width="5.85546875" style="28" bestFit="1" customWidth="1"/>
    <col min="14" max="14" width="8.140625" style="28" bestFit="1" customWidth="1"/>
    <col min="15" max="15" width="3.28515625" style="28" bestFit="1" customWidth="1"/>
    <col min="16" max="16" width="3.7109375" style="28" bestFit="1" customWidth="1"/>
    <col min="17" max="17" width="4.42578125" style="28" bestFit="1" customWidth="1"/>
    <col min="18" max="18" width="11.5703125" style="28" bestFit="1" customWidth="1"/>
    <col min="19" max="19" width="13.7109375" style="28" bestFit="1" customWidth="1"/>
    <col min="20" max="20" width="10.7109375" style="28" bestFit="1" customWidth="1"/>
    <col min="21" max="259" width="9.140625" style="11" customWidth="1"/>
    <col min="260" max="16384" width="9.140625" style="11"/>
  </cols>
  <sheetData>
    <row r="1" spans="1:20" x14ac:dyDescent="0.15">
      <c r="A1" s="114" t="s">
        <v>23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6"/>
    </row>
    <row r="2" spans="1:20" ht="22.5" x14ac:dyDescent="0.15">
      <c r="A2" s="12" t="s">
        <v>22</v>
      </c>
      <c r="B2" s="12" t="s">
        <v>0</v>
      </c>
      <c r="C2" s="12" t="s">
        <v>1</v>
      </c>
      <c r="D2" s="12" t="s">
        <v>12</v>
      </c>
      <c r="E2" s="12" t="s">
        <v>11</v>
      </c>
      <c r="F2" s="13" t="s">
        <v>2</v>
      </c>
      <c r="G2" s="13" t="s">
        <v>14</v>
      </c>
      <c r="H2" s="13" t="s">
        <v>15</v>
      </c>
      <c r="I2" s="13" t="s">
        <v>16</v>
      </c>
      <c r="J2" s="13" t="s">
        <v>17</v>
      </c>
      <c r="K2" s="13" t="s">
        <v>13</v>
      </c>
      <c r="L2" s="13" t="s">
        <v>3</v>
      </c>
      <c r="M2" s="13" t="s">
        <v>19</v>
      </c>
      <c r="N2" s="13" t="s">
        <v>4</v>
      </c>
      <c r="O2" s="13" t="s">
        <v>5</v>
      </c>
      <c r="P2" s="13" t="s">
        <v>6</v>
      </c>
      <c r="Q2" s="14" t="s">
        <v>7</v>
      </c>
      <c r="R2" s="13" t="s">
        <v>8</v>
      </c>
      <c r="S2" s="13" t="s">
        <v>9</v>
      </c>
      <c r="T2" s="13" t="s">
        <v>10</v>
      </c>
    </row>
    <row r="3" spans="1:20" ht="11.25" x14ac:dyDescent="0.2">
      <c r="A3" s="15">
        <v>1</v>
      </c>
      <c r="B3" s="24">
        <v>3820</v>
      </c>
      <c r="C3" s="25" t="s">
        <v>226</v>
      </c>
      <c r="D3" s="16" t="s">
        <v>227</v>
      </c>
      <c r="E3" s="16" t="s">
        <v>67</v>
      </c>
      <c r="F3" s="17">
        <v>11500</v>
      </c>
      <c r="G3" s="18"/>
      <c r="H3" s="19"/>
      <c r="I3" s="20">
        <f t="shared" ref="I3:I29" si="0">F3/31*G3</f>
        <v>0</v>
      </c>
      <c r="J3" s="20">
        <f t="shared" ref="J3:J29" si="1">F3/31/8*H3</f>
        <v>0</v>
      </c>
      <c r="K3" s="20">
        <f t="shared" ref="K3:K29" si="2">I3+J3</f>
        <v>0</v>
      </c>
      <c r="L3" s="21"/>
      <c r="M3" s="21"/>
      <c r="N3" s="21"/>
      <c r="O3" s="21"/>
      <c r="P3" s="21"/>
      <c r="Q3" s="23"/>
      <c r="R3" s="20">
        <f t="shared" ref="R3:R29" si="3">K3</f>
        <v>0</v>
      </c>
      <c r="S3" s="20">
        <f t="shared" ref="S3:S29" si="4">L3+M3+N3+O3+P3+Q3</f>
        <v>0</v>
      </c>
      <c r="T3" s="20">
        <f t="shared" ref="T3:T29" si="5">R3-S3</f>
        <v>0</v>
      </c>
    </row>
    <row r="4" spans="1:20" ht="11.25" x14ac:dyDescent="0.2">
      <c r="A4" s="15">
        <v>2</v>
      </c>
      <c r="B4" s="24">
        <v>3923</v>
      </c>
      <c r="C4" s="25" t="s">
        <v>258</v>
      </c>
      <c r="D4" s="16" t="s">
        <v>259</v>
      </c>
      <c r="E4" s="16" t="s">
        <v>67</v>
      </c>
      <c r="F4" s="17">
        <v>9500</v>
      </c>
      <c r="G4" s="18"/>
      <c r="H4" s="19"/>
      <c r="I4" s="20">
        <f t="shared" si="0"/>
        <v>0</v>
      </c>
      <c r="J4" s="20">
        <f t="shared" si="1"/>
        <v>0</v>
      </c>
      <c r="K4" s="20">
        <f t="shared" si="2"/>
        <v>0</v>
      </c>
      <c r="L4" s="21"/>
      <c r="M4" s="21"/>
      <c r="N4" s="21"/>
      <c r="O4" s="21"/>
      <c r="P4" s="21"/>
      <c r="Q4" s="23"/>
      <c r="R4" s="20">
        <f t="shared" si="3"/>
        <v>0</v>
      </c>
      <c r="S4" s="20">
        <f t="shared" si="4"/>
        <v>0</v>
      </c>
      <c r="T4" s="20">
        <f t="shared" si="5"/>
        <v>0</v>
      </c>
    </row>
    <row r="5" spans="1:20" ht="11.25" x14ac:dyDescent="0.2">
      <c r="A5" s="15">
        <v>3</v>
      </c>
      <c r="B5" s="24">
        <v>3732</v>
      </c>
      <c r="C5" s="25" t="s">
        <v>205</v>
      </c>
      <c r="D5" s="16" t="s">
        <v>206</v>
      </c>
      <c r="E5" s="16" t="s">
        <v>126</v>
      </c>
      <c r="F5" s="17">
        <v>11500</v>
      </c>
      <c r="G5" s="18"/>
      <c r="H5" s="19"/>
      <c r="I5" s="20">
        <f t="shared" si="0"/>
        <v>0</v>
      </c>
      <c r="J5" s="20">
        <f t="shared" si="1"/>
        <v>0</v>
      </c>
      <c r="K5" s="20">
        <f t="shared" si="2"/>
        <v>0</v>
      </c>
      <c r="L5" s="21"/>
      <c r="M5" s="21"/>
      <c r="N5" s="21"/>
      <c r="O5" s="21"/>
      <c r="P5" s="21"/>
      <c r="Q5" s="23"/>
      <c r="R5" s="20">
        <f t="shared" si="3"/>
        <v>0</v>
      </c>
      <c r="S5" s="20">
        <f t="shared" si="4"/>
        <v>0</v>
      </c>
      <c r="T5" s="20">
        <f t="shared" si="5"/>
        <v>0</v>
      </c>
    </row>
    <row r="6" spans="1:20" ht="11.25" x14ac:dyDescent="0.2">
      <c r="A6" s="15">
        <v>4</v>
      </c>
      <c r="B6" s="24">
        <v>3804</v>
      </c>
      <c r="C6" s="25" t="s">
        <v>219</v>
      </c>
      <c r="D6" s="16" t="s">
        <v>220</v>
      </c>
      <c r="E6" s="16" t="s">
        <v>126</v>
      </c>
      <c r="F6" s="17">
        <v>12900</v>
      </c>
      <c r="G6" s="18"/>
      <c r="H6" s="19"/>
      <c r="I6" s="20">
        <f t="shared" si="0"/>
        <v>0</v>
      </c>
      <c r="J6" s="20">
        <f t="shared" si="1"/>
        <v>0</v>
      </c>
      <c r="K6" s="20">
        <f t="shared" si="2"/>
        <v>0</v>
      </c>
      <c r="L6" s="21"/>
      <c r="M6" s="21"/>
      <c r="N6" s="21"/>
      <c r="O6" s="21"/>
      <c r="P6" s="21"/>
      <c r="Q6" s="23"/>
      <c r="R6" s="20">
        <f t="shared" si="3"/>
        <v>0</v>
      </c>
      <c r="S6" s="20">
        <f t="shared" si="4"/>
        <v>0</v>
      </c>
      <c r="T6" s="20">
        <f t="shared" si="5"/>
        <v>0</v>
      </c>
    </row>
    <row r="7" spans="1:20" ht="11.25" x14ac:dyDescent="0.2">
      <c r="A7" s="15">
        <v>5</v>
      </c>
      <c r="B7" s="24">
        <v>4025</v>
      </c>
      <c r="C7" s="25" t="s">
        <v>344</v>
      </c>
      <c r="D7" s="16" t="s">
        <v>345</v>
      </c>
      <c r="E7" s="16" t="s">
        <v>126</v>
      </c>
      <c r="F7" s="17">
        <v>11500</v>
      </c>
      <c r="G7" s="18"/>
      <c r="H7" s="19"/>
      <c r="I7" s="20">
        <f t="shared" si="0"/>
        <v>0</v>
      </c>
      <c r="J7" s="20">
        <f t="shared" si="1"/>
        <v>0</v>
      </c>
      <c r="K7" s="20">
        <f t="shared" si="2"/>
        <v>0</v>
      </c>
      <c r="L7" s="21"/>
      <c r="M7" s="21"/>
      <c r="N7" s="21"/>
      <c r="O7" s="21"/>
      <c r="P7" s="21"/>
      <c r="Q7" s="23"/>
      <c r="R7" s="20">
        <f t="shared" si="3"/>
        <v>0</v>
      </c>
      <c r="S7" s="20">
        <f t="shared" si="4"/>
        <v>0</v>
      </c>
      <c r="T7" s="20">
        <f t="shared" si="5"/>
        <v>0</v>
      </c>
    </row>
    <row r="8" spans="1:20" ht="11.25" x14ac:dyDescent="0.2">
      <c r="A8" s="15">
        <v>6</v>
      </c>
      <c r="B8" s="24">
        <v>4028</v>
      </c>
      <c r="C8" s="25" t="s">
        <v>243</v>
      </c>
      <c r="D8" s="16" t="s">
        <v>347</v>
      </c>
      <c r="E8" s="16" t="s">
        <v>126</v>
      </c>
      <c r="F8" s="17">
        <v>9000</v>
      </c>
      <c r="G8" s="18"/>
      <c r="H8" s="19"/>
      <c r="I8" s="20">
        <f t="shared" si="0"/>
        <v>0</v>
      </c>
      <c r="J8" s="20">
        <f t="shared" si="1"/>
        <v>0</v>
      </c>
      <c r="K8" s="20">
        <f t="shared" si="2"/>
        <v>0</v>
      </c>
      <c r="L8" s="21"/>
      <c r="M8" s="21"/>
      <c r="N8" s="21"/>
      <c r="O8" s="21"/>
      <c r="P8" s="21"/>
      <c r="Q8" s="23"/>
      <c r="R8" s="20">
        <f t="shared" si="3"/>
        <v>0</v>
      </c>
      <c r="S8" s="20">
        <f t="shared" si="4"/>
        <v>0</v>
      </c>
      <c r="T8" s="20">
        <f t="shared" si="5"/>
        <v>0</v>
      </c>
    </row>
    <row r="9" spans="1:20" ht="11.25" x14ac:dyDescent="0.2">
      <c r="A9" s="15">
        <v>7</v>
      </c>
      <c r="B9" s="24">
        <v>3829</v>
      </c>
      <c r="C9" s="25" t="s">
        <v>228</v>
      </c>
      <c r="D9" s="16" t="s">
        <v>229</v>
      </c>
      <c r="E9" s="16" t="s">
        <v>48</v>
      </c>
      <c r="F9" s="17">
        <v>32000</v>
      </c>
      <c r="G9" s="18"/>
      <c r="H9" s="19"/>
      <c r="I9" s="20">
        <f t="shared" si="0"/>
        <v>0</v>
      </c>
      <c r="J9" s="20">
        <f t="shared" si="1"/>
        <v>0</v>
      </c>
      <c r="K9" s="20">
        <f t="shared" si="2"/>
        <v>0</v>
      </c>
      <c r="L9" s="21"/>
      <c r="M9" s="21"/>
      <c r="N9" s="21"/>
      <c r="O9" s="21"/>
      <c r="P9" s="21"/>
      <c r="Q9" s="23"/>
      <c r="R9" s="20">
        <f t="shared" si="3"/>
        <v>0</v>
      </c>
      <c r="S9" s="20">
        <f t="shared" si="4"/>
        <v>0</v>
      </c>
      <c r="T9" s="20">
        <f t="shared" si="5"/>
        <v>0</v>
      </c>
    </row>
    <row r="10" spans="1:20" ht="11.25" x14ac:dyDescent="0.2">
      <c r="A10" s="15">
        <v>8</v>
      </c>
      <c r="B10" s="24">
        <v>3909</v>
      </c>
      <c r="C10" s="25" t="s">
        <v>251</v>
      </c>
      <c r="D10" s="16" t="s">
        <v>189</v>
      </c>
      <c r="E10" s="16" t="s">
        <v>38</v>
      </c>
      <c r="F10" s="17">
        <v>12000</v>
      </c>
      <c r="G10" s="18"/>
      <c r="H10" s="19"/>
      <c r="I10" s="20">
        <f t="shared" si="0"/>
        <v>0</v>
      </c>
      <c r="J10" s="20">
        <f t="shared" si="1"/>
        <v>0</v>
      </c>
      <c r="K10" s="20">
        <f t="shared" si="2"/>
        <v>0</v>
      </c>
      <c r="L10" s="21"/>
      <c r="M10" s="21"/>
      <c r="N10" s="21"/>
      <c r="O10" s="21"/>
      <c r="P10" s="21"/>
      <c r="Q10" s="23"/>
      <c r="R10" s="20">
        <f t="shared" si="3"/>
        <v>0</v>
      </c>
      <c r="S10" s="20">
        <f t="shared" si="4"/>
        <v>0</v>
      </c>
      <c r="T10" s="20">
        <f t="shared" si="5"/>
        <v>0</v>
      </c>
    </row>
    <row r="11" spans="1:20" ht="11.25" x14ac:dyDescent="0.2">
      <c r="A11" s="15">
        <v>9</v>
      </c>
      <c r="B11" s="24">
        <v>4020</v>
      </c>
      <c r="C11" s="25" t="s">
        <v>337</v>
      </c>
      <c r="D11" s="16" t="s">
        <v>338</v>
      </c>
      <c r="E11" s="16" t="s">
        <v>82</v>
      </c>
      <c r="F11" s="17">
        <v>14500</v>
      </c>
      <c r="G11" s="18"/>
      <c r="H11" s="19"/>
      <c r="I11" s="20">
        <f t="shared" si="0"/>
        <v>0</v>
      </c>
      <c r="J11" s="20">
        <f t="shared" si="1"/>
        <v>0</v>
      </c>
      <c r="K11" s="20">
        <f t="shared" si="2"/>
        <v>0</v>
      </c>
      <c r="L11" s="21"/>
      <c r="M11" s="21"/>
      <c r="N11" s="21"/>
      <c r="O11" s="21"/>
      <c r="P11" s="21"/>
      <c r="Q11" s="23"/>
      <c r="R11" s="20">
        <f t="shared" si="3"/>
        <v>0</v>
      </c>
      <c r="S11" s="20">
        <f t="shared" si="4"/>
        <v>0</v>
      </c>
      <c r="T11" s="20">
        <f t="shared" si="5"/>
        <v>0</v>
      </c>
    </row>
    <row r="12" spans="1:20" ht="11.25" x14ac:dyDescent="0.2">
      <c r="A12" s="15">
        <v>10</v>
      </c>
      <c r="B12" s="24">
        <v>3996</v>
      </c>
      <c r="C12" s="25" t="s">
        <v>311</v>
      </c>
      <c r="D12" s="16" t="s">
        <v>312</v>
      </c>
      <c r="E12" s="16" t="s">
        <v>190</v>
      </c>
      <c r="F12" s="17">
        <v>16000</v>
      </c>
      <c r="G12" s="18"/>
      <c r="H12" s="19"/>
      <c r="I12" s="20">
        <f t="shared" si="0"/>
        <v>0</v>
      </c>
      <c r="J12" s="20">
        <f t="shared" si="1"/>
        <v>0</v>
      </c>
      <c r="K12" s="20">
        <f t="shared" si="2"/>
        <v>0</v>
      </c>
      <c r="L12" s="21"/>
      <c r="M12" s="21"/>
      <c r="N12" s="21"/>
      <c r="O12" s="21"/>
      <c r="P12" s="21"/>
      <c r="Q12" s="23"/>
      <c r="R12" s="20">
        <f t="shared" si="3"/>
        <v>0</v>
      </c>
      <c r="S12" s="20">
        <f t="shared" si="4"/>
        <v>0</v>
      </c>
      <c r="T12" s="20">
        <f t="shared" si="5"/>
        <v>0</v>
      </c>
    </row>
    <row r="13" spans="1:20" ht="11.25" x14ac:dyDescent="0.2">
      <c r="A13" s="15">
        <v>11</v>
      </c>
      <c r="B13" s="24">
        <v>3999</v>
      </c>
      <c r="C13" s="25" t="s">
        <v>315</v>
      </c>
      <c r="D13" s="16" t="s">
        <v>316</v>
      </c>
      <c r="E13" s="16" t="s">
        <v>190</v>
      </c>
      <c r="F13" s="17">
        <v>12000</v>
      </c>
      <c r="G13" s="18"/>
      <c r="H13" s="19"/>
      <c r="I13" s="20">
        <f t="shared" si="0"/>
        <v>0</v>
      </c>
      <c r="J13" s="20">
        <f t="shared" si="1"/>
        <v>0</v>
      </c>
      <c r="K13" s="20">
        <f t="shared" si="2"/>
        <v>0</v>
      </c>
      <c r="L13" s="21"/>
      <c r="M13" s="21"/>
      <c r="N13" s="21"/>
      <c r="O13" s="21"/>
      <c r="P13" s="21"/>
      <c r="Q13" s="23"/>
      <c r="R13" s="20">
        <f t="shared" si="3"/>
        <v>0</v>
      </c>
      <c r="S13" s="20">
        <f t="shared" si="4"/>
        <v>0</v>
      </c>
      <c r="T13" s="20">
        <f t="shared" si="5"/>
        <v>0</v>
      </c>
    </row>
    <row r="14" spans="1:20" ht="11.25" x14ac:dyDescent="0.2">
      <c r="A14" s="15">
        <v>12</v>
      </c>
      <c r="B14" s="24">
        <v>4011</v>
      </c>
      <c r="C14" s="25" t="s">
        <v>325</v>
      </c>
      <c r="D14" s="16" t="s">
        <v>326</v>
      </c>
      <c r="E14" s="16" t="s">
        <v>190</v>
      </c>
      <c r="F14" s="17">
        <v>12500</v>
      </c>
      <c r="G14" s="18"/>
      <c r="H14" s="19"/>
      <c r="I14" s="20">
        <f t="shared" si="0"/>
        <v>0</v>
      </c>
      <c r="J14" s="20">
        <f t="shared" si="1"/>
        <v>0</v>
      </c>
      <c r="K14" s="20">
        <f t="shared" si="2"/>
        <v>0</v>
      </c>
      <c r="L14" s="21"/>
      <c r="M14" s="21"/>
      <c r="N14" s="21"/>
      <c r="O14" s="21"/>
      <c r="P14" s="21"/>
      <c r="Q14" s="23"/>
      <c r="R14" s="20">
        <f t="shared" si="3"/>
        <v>0</v>
      </c>
      <c r="S14" s="20">
        <f t="shared" si="4"/>
        <v>0</v>
      </c>
      <c r="T14" s="20">
        <f t="shared" si="5"/>
        <v>0</v>
      </c>
    </row>
    <row r="15" spans="1:20" ht="11.25" x14ac:dyDescent="0.2">
      <c r="A15" s="15">
        <v>13</v>
      </c>
      <c r="B15" s="24">
        <v>3663</v>
      </c>
      <c r="C15" s="25" t="s">
        <v>184</v>
      </c>
      <c r="D15" s="16" t="s">
        <v>185</v>
      </c>
      <c r="E15" s="16" t="s">
        <v>51</v>
      </c>
      <c r="F15" s="17">
        <v>13000</v>
      </c>
      <c r="G15" s="18"/>
      <c r="H15" s="19"/>
      <c r="I15" s="20">
        <f t="shared" si="0"/>
        <v>0</v>
      </c>
      <c r="J15" s="20">
        <f t="shared" si="1"/>
        <v>0</v>
      </c>
      <c r="K15" s="20">
        <f t="shared" si="2"/>
        <v>0</v>
      </c>
      <c r="L15" s="21"/>
      <c r="M15" s="21"/>
      <c r="N15" s="21"/>
      <c r="O15" s="21"/>
      <c r="P15" s="21"/>
      <c r="Q15" s="23"/>
      <c r="R15" s="20">
        <f t="shared" si="3"/>
        <v>0</v>
      </c>
      <c r="S15" s="20">
        <f t="shared" si="4"/>
        <v>0</v>
      </c>
      <c r="T15" s="20">
        <f t="shared" si="5"/>
        <v>0</v>
      </c>
    </row>
    <row r="16" spans="1:20" ht="11.25" x14ac:dyDescent="0.2">
      <c r="A16" s="15">
        <v>14</v>
      </c>
      <c r="B16" s="24">
        <v>3934</v>
      </c>
      <c r="C16" s="25" t="s">
        <v>267</v>
      </c>
      <c r="D16" s="16" t="s">
        <v>268</v>
      </c>
      <c r="E16" s="16" t="s">
        <v>51</v>
      </c>
      <c r="F16" s="17">
        <v>12000</v>
      </c>
      <c r="G16" s="18"/>
      <c r="H16" s="19"/>
      <c r="I16" s="20">
        <f t="shared" si="0"/>
        <v>0</v>
      </c>
      <c r="J16" s="20">
        <f t="shared" si="1"/>
        <v>0</v>
      </c>
      <c r="K16" s="20">
        <f t="shared" si="2"/>
        <v>0</v>
      </c>
      <c r="L16" s="21"/>
      <c r="M16" s="21"/>
      <c r="N16" s="21"/>
      <c r="O16" s="21"/>
      <c r="P16" s="21"/>
      <c r="Q16" s="23"/>
      <c r="R16" s="20">
        <f t="shared" si="3"/>
        <v>0</v>
      </c>
      <c r="S16" s="20">
        <f t="shared" si="4"/>
        <v>0</v>
      </c>
      <c r="T16" s="20">
        <f t="shared" si="5"/>
        <v>0</v>
      </c>
    </row>
    <row r="17" spans="1:20" ht="11.25" x14ac:dyDescent="0.2">
      <c r="A17" s="15">
        <v>15</v>
      </c>
      <c r="B17" s="24">
        <v>3935</v>
      </c>
      <c r="C17" s="25" t="s">
        <v>269</v>
      </c>
      <c r="D17" s="16" t="s">
        <v>270</v>
      </c>
      <c r="E17" s="16" t="s">
        <v>51</v>
      </c>
      <c r="F17" s="17">
        <v>13000</v>
      </c>
      <c r="G17" s="18"/>
      <c r="H17" s="19"/>
      <c r="I17" s="20">
        <f t="shared" si="0"/>
        <v>0</v>
      </c>
      <c r="J17" s="20">
        <f t="shared" si="1"/>
        <v>0</v>
      </c>
      <c r="K17" s="20">
        <f t="shared" si="2"/>
        <v>0</v>
      </c>
      <c r="L17" s="21"/>
      <c r="M17" s="21"/>
      <c r="N17" s="21"/>
      <c r="O17" s="21"/>
      <c r="P17" s="21"/>
      <c r="Q17" s="23"/>
      <c r="R17" s="20">
        <f t="shared" si="3"/>
        <v>0</v>
      </c>
      <c r="S17" s="20">
        <f t="shared" si="4"/>
        <v>0</v>
      </c>
      <c r="T17" s="20">
        <f t="shared" si="5"/>
        <v>0</v>
      </c>
    </row>
    <row r="18" spans="1:20" ht="11.25" x14ac:dyDescent="0.2">
      <c r="A18" s="15">
        <v>16</v>
      </c>
      <c r="B18" s="24">
        <v>3964</v>
      </c>
      <c r="C18" s="25" t="s">
        <v>287</v>
      </c>
      <c r="D18" s="16" t="s">
        <v>288</v>
      </c>
      <c r="E18" s="16" t="s">
        <v>51</v>
      </c>
      <c r="F18" s="17">
        <v>12500</v>
      </c>
      <c r="G18" s="18"/>
      <c r="H18" s="19"/>
      <c r="I18" s="20">
        <f t="shared" si="0"/>
        <v>0</v>
      </c>
      <c r="J18" s="20">
        <f t="shared" si="1"/>
        <v>0</v>
      </c>
      <c r="K18" s="20">
        <f t="shared" si="2"/>
        <v>0</v>
      </c>
      <c r="L18" s="21"/>
      <c r="M18" s="21"/>
      <c r="N18" s="21"/>
      <c r="O18" s="21"/>
      <c r="P18" s="21"/>
      <c r="Q18" s="23"/>
      <c r="R18" s="20">
        <f t="shared" si="3"/>
        <v>0</v>
      </c>
      <c r="S18" s="20">
        <f t="shared" si="4"/>
        <v>0</v>
      </c>
      <c r="T18" s="20">
        <f t="shared" si="5"/>
        <v>0</v>
      </c>
    </row>
    <row r="19" spans="1:20" ht="11.25" x14ac:dyDescent="0.2">
      <c r="A19" s="15">
        <v>17</v>
      </c>
      <c r="B19" s="24">
        <v>3965</v>
      </c>
      <c r="C19" s="25" t="s">
        <v>289</v>
      </c>
      <c r="D19" s="16" t="s">
        <v>290</v>
      </c>
      <c r="E19" s="16" t="s">
        <v>51</v>
      </c>
      <c r="F19" s="17">
        <v>12000</v>
      </c>
      <c r="G19" s="18"/>
      <c r="H19" s="19"/>
      <c r="I19" s="20">
        <f t="shared" si="0"/>
        <v>0</v>
      </c>
      <c r="J19" s="20">
        <f t="shared" si="1"/>
        <v>0</v>
      </c>
      <c r="K19" s="20">
        <f t="shared" si="2"/>
        <v>0</v>
      </c>
      <c r="L19" s="21"/>
      <c r="M19" s="21"/>
      <c r="N19" s="21"/>
      <c r="O19" s="21"/>
      <c r="P19" s="21"/>
      <c r="Q19" s="23"/>
      <c r="R19" s="20">
        <f t="shared" si="3"/>
        <v>0</v>
      </c>
      <c r="S19" s="20">
        <f t="shared" si="4"/>
        <v>0</v>
      </c>
      <c r="T19" s="20">
        <f t="shared" si="5"/>
        <v>0</v>
      </c>
    </row>
    <row r="20" spans="1:20" ht="11.25" x14ac:dyDescent="0.2">
      <c r="A20" s="15">
        <v>18</v>
      </c>
      <c r="B20" s="24">
        <v>3980</v>
      </c>
      <c r="C20" s="25" t="s">
        <v>300</v>
      </c>
      <c r="D20" s="16" t="s">
        <v>301</v>
      </c>
      <c r="E20" s="16" t="s">
        <v>51</v>
      </c>
      <c r="F20" s="17">
        <v>11500</v>
      </c>
      <c r="G20" s="18"/>
      <c r="H20" s="19"/>
      <c r="I20" s="20">
        <f t="shared" si="0"/>
        <v>0</v>
      </c>
      <c r="J20" s="20">
        <f t="shared" si="1"/>
        <v>0</v>
      </c>
      <c r="K20" s="20">
        <f t="shared" si="2"/>
        <v>0</v>
      </c>
      <c r="L20" s="21"/>
      <c r="M20" s="21"/>
      <c r="N20" s="21"/>
      <c r="O20" s="21"/>
      <c r="P20" s="21"/>
      <c r="Q20" s="23"/>
      <c r="R20" s="20">
        <f t="shared" si="3"/>
        <v>0</v>
      </c>
      <c r="S20" s="20">
        <f t="shared" si="4"/>
        <v>0</v>
      </c>
      <c r="T20" s="20">
        <f t="shared" si="5"/>
        <v>0</v>
      </c>
    </row>
    <row r="21" spans="1:20" ht="11.25" x14ac:dyDescent="0.2">
      <c r="A21" s="15">
        <v>19</v>
      </c>
      <c r="B21" s="24">
        <v>4010</v>
      </c>
      <c r="C21" s="25" t="s">
        <v>323</v>
      </c>
      <c r="D21" s="16" t="s">
        <v>324</v>
      </c>
      <c r="E21" s="16" t="s">
        <v>51</v>
      </c>
      <c r="F21" s="17">
        <v>11500</v>
      </c>
      <c r="G21" s="18"/>
      <c r="H21" s="19"/>
      <c r="I21" s="20">
        <f t="shared" si="0"/>
        <v>0</v>
      </c>
      <c r="J21" s="20">
        <f t="shared" si="1"/>
        <v>0</v>
      </c>
      <c r="K21" s="20">
        <f t="shared" si="2"/>
        <v>0</v>
      </c>
      <c r="L21" s="21"/>
      <c r="M21" s="21"/>
      <c r="N21" s="21"/>
      <c r="O21" s="21"/>
      <c r="P21" s="21"/>
      <c r="Q21" s="23"/>
      <c r="R21" s="20">
        <f t="shared" si="3"/>
        <v>0</v>
      </c>
      <c r="S21" s="20">
        <f t="shared" si="4"/>
        <v>0</v>
      </c>
      <c r="T21" s="20">
        <f t="shared" si="5"/>
        <v>0</v>
      </c>
    </row>
    <row r="22" spans="1:20" ht="11.25" x14ac:dyDescent="0.2">
      <c r="A22" s="15">
        <v>20</v>
      </c>
      <c r="B22" s="24">
        <v>4014</v>
      </c>
      <c r="C22" s="25" t="s">
        <v>327</v>
      </c>
      <c r="D22" s="16" t="s">
        <v>328</v>
      </c>
      <c r="E22" s="16" t="s">
        <v>51</v>
      </c>
      <c r="F22" s="17">
        <v>11500</v>
      </c>
      <c r="G22" s="18"/>
      <c r="H22" s="19"/>
      <c r="I22" s="20">
        <f t="shared" si="0"/>
        <v>0</v>
      </c>
      <c r="J22" s="20">
        <f t="shared" si="1"/>
        <v>0</v>
      </c>
      <c r="K22" s="20">
        <f t="shared" si="2"/>
        <v>0</v>
      </c>
      <c r="L22" s="21"/>
      <c r="M22" s="21"/>
      <c r="N22" s="21"/>
      <c r="O22" s="21"/>
      <c r="P22" s="21"/>
      <c r="Q22" s="23"/>
      <c r="R22" s="20">
        <f t="shared" si="3"/>
        <v>0</v>
      </c>
      <c r="S22" s="20">
        <f t="shared" si="4"/>
        <v>0</v>
      </c>
      <c r="T22" s="20">
        <f t="shared" si="5"/>
        <v>0</v>
      </c>
    </row>
    <row r="23" spans="1:20" ht="11.25" x14ac:dyDescent="0.2">
      <c r="A23" s="15">
        <v>21</v>
      </c>
      <c r="B23" s="24">
        <v>4075</v>
      </c>
      <c r="C23" s="25" t="s">
        <v>433</v>
      </c>
      <c r="D23" s="16" t="s">
        <v>396</v>
      </c>
      <c r="E23" s="16" t="s">
        <v>51</v>
      </c>
      <c r="F23" s="17">
        <v>12000</v>
      </c>
      <c r="G23" s="18"/>
      <c r="H23" s="19"/>
      <c r="I23" s="20">
        <f t="shared" si="0"/>
        <v>0</v>
      </c>
      <c r="J23" s="20">
        <f t="shared" si="1"/>
        <v>0</v>
      </c>
      <c r="K23" s="20">
        <f t="shared" si="2"/>
        <v>0</v>
      </c>
      <c r="L23" s="21"/>
      <c r="M23" s="21"/>
      <c r="N23" s="21"/>
      <c r="O23" s="21"/>
      <c r="P23" s="21"/>
      <c r="Q23" s="23"/>
      <c r="R23" s="20">
        <f t="shared" si="3"/>
        <v>0</v>
      </c>
      <c r="S23" s="20">
        <f t="shared" si="4"/>
        <v>0</v>
      </c>
      <c r="T23" s="20">
        <f t="shared" si="5"/>
        <v>0</v>
      </c>
    </row>
    <row r="24" spans="1:20" ht="11.25" x14ac:dyDescent="0.2">
      <c r="A24" s="15">
        <v>22</v>
      </c>
      <c r="B24" s="24">
        <v>4076</v>
      </c>
      <c r="C24" s="25" t="s">
        <v>434</v>
      </c>
      <c r="D24" s="16" t="s">
        <v>435</v>
      </c>
      <c r="E24" s="16" t="s">
        <v>51</v>
      </c>
      <c r="F24" s="17">
        <v>11000</v>
      </c>
      <c r="G24" s="18"/>
      <c r="H24" s="19"/>
      <c r="I24" s="20">
        <f t="shared" si="0"/>
        <v>0</v>
      </c>
      <c r="J24" s="20">
        <f t="shared" si="1"/>
        <v>0</v>
      </c>
      <c r="K24" s="20">
        <f t="shared" si="2"/>
        <v>0</v>
      </c>
      <c r="L24" s="21"/>
      <c r="M24" s="21"/>
      <c r="N24" s="21"/>
      <c r="O24" s="21"/>
      <c r="P24" s="21"/>
      <c r="Q24" s="23"/>
      <c r="R24" s="20">
        <f t="shared" si="3"/>
        <v>0</v>
      </c>
      <c r="S24" s="20">
        <f t="shared" si="4"/>
        <v>0</v>
      </c>
      <c r="T24" s="20">
        <f t="shared" si="5"/>
        <v>0</v>
      </c>
    </row>
    <row r="25" spans="1:20" ht="11.25" x14ac:dyDescent="0.2">
      <c r="A25" s="15">
        <v>23</v>
      </c>
      <c r="B25" s="24">
        <v>4077</v>
      </c>
      <c r="C25" s="25" t="s">
        <v>436</v>
      </c>
      <c r="D25" s="16" t="s">
        <v>437</v>
      </c>
      <c r="E25" s="16" t="s">
        <v>51</v>
      </c>
      <c r="F25" s="17">
        <v>11500</v>
      </c>
      <c r="G25" s="18"/>
      <c r="H25" s="19"/>
      <c r="I25" s="20">
        <f t="shared" si="0"/>
        <v>0</v>
      </c>
      <c r="J25" s="20">
        <f t="shared" si="1"/>
        <v>0</v>
      </c>
      <c r="K25" s="20">
        <f t="shared" si="2"/>
        <v>0</v>
      </c>
      <c r="L25" s="21"/>
      <c r="M25" s="21"/>
      <c r="N25" s="21"/>
      <c r="O25" s="21"/>
      <c r="P25" s="21"/>
      <c r="Q25" s="23"/>
      <c r="R25" s="20">
        <f t="shared" si="3"/>
        <v>0</v>
      </c>
      <c r="S25" s="20">
        <f t="shared" si="4"/>
        <v>0</v>
      </c>
      <c r="T25" s="20">
        <f t="shared" si="5"/>
        <v>0</v>
      </c>
    </row>
    <row r="26" spans="1:20" ht="11.25" x14ac:dyDescent="0.2">
      <c r="A26" s="15">
        <v>24</v>
      </c>
      <c r="B26" s="24">
        <v>3664</v>
      </c>
      <c r="C26" s="25" t="s">
        <v>186</v>
      </c>
      <c r="D26" s="16" t="s">
        <v>187</v>
      </c>
      <c r="E26" s="16" t="s">
        <v>35</v>
      </c>
      <c r="F26" s="17">
        <v>13700</v>
      </c>
      <c r="G26" s="18"/>
      <c r="H26" s="19"/>
      <c r="I26" s="20">
        <f t="shared" si="0"/>
        <v>0</v>
      </c>
      <c r="J26" s="20">
        <f t="shared" si="1"/>
        <v>0</v>
      </c>
      <c r="K26" s="20">
        <f t="shared" si="2"/>
        <v>0</v>
      </c>
      <c r="L26" s="21"/>
      <c r="M26" s="21"/>
      <c r="N26" s="21"/>
      <c r="O26" s="21"/>
      <c r="P26" s="21"/>
      <c r="Q26" s="23"/>
      <c r="R26" s="20">
        <f t="shared" si="3"/>
        <v>0</v>
      </c>
      <c r="S26" s="20">
        <f t="shared" si="4"/>
        <v>0</v>
      </c>
      <c r="T26" s="20">
        <f t="shared" si="5"/>
        <v>0</v>
      </c>
    </row>
    <row r="27" spans="1:20" ht="11.25" x14ac:dyDescent="0.2">
      <c r="A27" s="15">
        <v>25</v>
      </c>
      <c r="B27" s="24">
        <v>3760</v>
      </c>
      <c r="C27" s="25" t="s">
        <v>207</v>
      </c>
      <c r="D27" s="16" t="s">
        <v>208</v>
      </c>
      <c r="E27" s="16" t="s">
        <v>121</v>
      </c>
      <c r="F27" s="17">
        <v>12000</v>
      </c>
      <c r="G27" s="18"/>
      <c r="H27" s="19"/>
      <c r="I27" s="20">
        <f t="shared" si="0"/>
        <v>0</v>
      </c>
      <c r="J27" s="20">
        <f t="shared" si="1"/>
        <v>0</v>
      </c>
      <c r="K27" s="20">
        <f t="shared" si="2"/>
        <v>0</v>
      </c>
      <c r="L27" s="21"/>
      <c r="M27" s="21"/>
      <c r="N27" s="21"/>
      <c r="O27" s="21"/>
      <c r="P27" s="21"/>
      <c r="Q27" s="23"/>
      <c r="R27" s="20">
        <f t="shared" si="3"/>
        <v>0</v>
      </c>
      <c r="S27" s="20">
        <f t="shared" si="4"/>
        <v>0</v>
      </c>
      <c r="T27" s="20">
        <f t="shared" si="5"/>
        <v>0</v>
      </c>
    </row>
    <row r="28" spans="1:20" ht="11.25" x14ac:dyDescent="0.2">
      <c r="A28" s="15">
        <v>26</v>
      </c>
      <c r="B28" s="24">
        <v>3774</v>
      </c>
      <c r="C28" s="25" t="s">
        <v>213</v>
      </c>
      <c r="D28" s="16" t="s">
        <v>214</v>
      </c>
      <c r="E28" s="16" t="s">
        <v>121</v>
      </c>
      <c r="F28" s="17">
        <v>10000</v>
      </c>
      <c r="G28" s="18"/>
      <c r="H28" s="19"/>
      <c r="I28" s="20">
        <f t="shared" si="0"/>
        <v>0</v>
      </c>
      <c r="J28" s="20">
        <f t="shared" si="1"/>
        <v>0</v>
      </c>
      <c r="K28" s="20">
        <f t="shared" si="2"/>
        <v>0</v>
      </c>
      <c r="L28" s="21"/>
      <c r="M28" s="21"/>
      <c r="N28" s="21"/>
      <c r="O28" s="21"/>
      <c r="P28" s="21"/>
      <c r="Q28" s="23"/>
      <c r="R28" s="20">
        <f t="shared" si="3"/>
        <v>0</v>
      </c>
      <c r="S28" s="20">
        <f t="shared" si="4"/>
        <v>0</v>
      </c>
      <c r="T28" s="20">
        <f t="shared" si="5"/>
        <v>0</v>
      </c>
    </row>
    <row r="29" spans="1:20" ht="11.25" x14ac:dyDescent="0.2">
      <c r="A29" s="15">
        <v>27</v>
      </c>
      <c r="B29" s="24">
        <v>2827</v>
      </c>
      <c r="C29" s="25" t="s">
        <v>99</v>
      </c>
      <c r="D29" s="16" t="s">
        <v>100</v>
      </c>
      <c r="E29" s="16" t="s">
        <v>56</v>
      </c>
      <c r="F29" s="17">
        <v>17200</v>
      </c>
      <c r="G29" s="18"/>
      <c r="H29" s="19"/>
      <c r="I29" s="20">
        <f t="shared" si="0"/>
        <v>0</v>
      </c>
      <c r="J29" s="20">
        <f t="shared" si="1"/>
        <v>0</v>
      </c>
      <c r="K29" s="20">
        <f t="shared" si="2"/>
        <v>0</v>
      </c>
      <c r="L29" s="21"/>
      <c r="M29" s="21"/>
      <c r="N29" s="21"/>
      <c r="O29" s="21"/>
      <c r="P29" s="21"/>
      <c r="Q29" s="23"/>
      <c r="R29" s="20">
        <f t="shared" si="3"/>
        <v>0</v>
      </c>
      <c r="S29" s="20">
        <f t="shared" si="4"/>
        <v>0</v>
      </c>
      <c r="T29" s="20">
        <f t="shared" si="5"/>
        <v>0</v>
      </c>
    </row>
    <row r="30" spans="1:20" ht="11.25" x14ac:dyDescent="0.15">
      <c r="C30" s="26"/>
      <c r="D30" s="26"/>
      <c r="E30" s="26"/>
      <c r="F30" s="27">
        <f t="shared" ref="F30:T30" si="6">SUM(F3:F29)</f>
        <v>349300</v>
      </c>
      <c r="G30" s="27">
        <f t="shared" si="6"/>
        <v>0</v>
      </c>
      <c r="H30" s="27">
        <f t="shared" si="6"/>
        <v>0</v>
      </c>
      <c r="I30" s="27">
        <f t="shared" si="6"/>
        <v>0</v>
      </c>
      <c r="J30" s="27">
        <f t="shared" si="6"/>
        <v>0</v>
      </c>
      <c r="K30" s="27">
        <f t="shared" si="6"/>
        <v>0</v>
      </c>
      <c r="L30" s="27">
        <f t="shared" si="6"/>
        <v>0</v>
      </c>
      <c r="M30" s="27">
        <f t="shared" si="6"/>
        <v>0</v>
      </c>
      <c r="N30" s="27">
        <f t="shared" si="6"/>
        <v>0</v>
      </c>
      <c r="O30" s="27">
        <f t="shared" si="6"/>
        <v>0</v>
      </c>
      <c r="P30" s="27">
        <f t="shared" si="6"/>
        <v>0</v>
      </c>
      <c r="Q30" s="27">
        <f t="shared" si="6"/>
        <v>0</v>
      </c>
      <c r="R30" s="27">
        <f t="shared" si="6"/>
        <v>0</v>
      </c>
      <c r="S30" s="27">
        <f t="shared" si="6"/>
        <v>0</v>
      </c>
      <c r="T30" s="27">
        <f t="shared" si="6"/>
        <v>0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Salary Export</vt:lpstr>
      <vt:lpstr>UNPAID</vt:lpstr>
      <vt:lpstr>SALARY</vt:lpstr>
      <vt:lpstr>WAGES</vt:lpstr>
      <vt:lpstr>SUMMERY</vt:lpstr>
      <vt:lpstr>LEFT EMP</vt:lpstr>
      <vt:lpstr>'Salary Export'!Print_Area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kamboj</dc:creator>
  <cp:lastModifiedBy>Bimal</cp:lastModifiedBy>
  <cp:lastPrinted>2026-06-18T10:00:56Z</cp:lastPrinted>
  <dcterms:created xsi:type="dcterms:W3CDTF">2026-04-06T06:28:25Z</dcterms:created>
  <dcterms:modified xsi:type="dcterms:W3CDTF">2026-06-19T04:40:27Z</dcterms:modified>
</cp:coreProperties>
</file>